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ugs" sheetId="2" state="visible" r:id="rId2"/>
    <sheet name="Daily Report" sheetId="3" state="visible" r:id="rId3"/>
    <sheet name="Summary" sheetId="4" state="visible" r:id="rId4"/>
    <sheet name="Observations" sheetId="5" state="visible" r:id="rId5"/>
  </sheets>
  <definedNames>
    <definedName name="_xlnm._FilterDatabase" localSheetId="1" hidden="1">'Bugs'!$A$1:$T$80</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79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Priority</t>
        </is>
      </c>
      <c r="B18" s="3" t="inlineStr">
        <is>
          <t>P1 to P4. Weighs the cost of the fix against the cost of leaving it, so it differs from severity in both directions.</t>
        </is>
      </c>
    </row>
    <row r="19">
      <c r="A19" s="2" t="inlineStr">
        <is>
          <t>Environment</t>
        </is>
      </c>
      <c r="B19" s="3" t="inlineStr">
        <is>
          <t>Where the defect was observed: UAT/dev read-only, the isolated stack with synthetic data, or source review.</t>
        </is>
      </c>
    </row>
    <row r="20">
      <c r="A20" s="2" t="inlineStr">
        <is>
          <t>Steps to Reproduce</t>
        </is>
      </c>
      <c r="B20" s="3" t="inlineStr">
        <is>
          <t>Numbered steps. Entries marked as code review or inspection have no runtime reproduction and say so.</t>
        </is>
      </c>
    </row>
    <row r="21">
      <c r="A21" s="2" t="inlineStr">
        <is>
          <t>Expected Result</t>
        </is>
      </c>
      <c r="B21" s="3" t="inlineStr">
        <is>
          <t>Derived from the defect class. The characterisation document is unsigned, so for behavioural questions this is our reading rather than an agreed specification.</t>
        </is>
      </c>
    </row>
    <row r="22">
      <c r="A22" s="2" t="inlineStr">
        <is>
          <t>Actual Result</t>
        </is>
      </c>
      <c r="B22" s="3" t="inlineStr">
        <is>
          <t>What was observed, quoted from the register.</t>
        </is>
      </c>
    </row>
    <row r="23">
      <c r="A23" s="2" t="inlineStr">
        <is>
          <t>Attachment / Screenshot Reference</t>
        </is>
      </c>
      <c r="B23" s="3" t="inlineStr">
        <is>
          <t>Screen captures for 5 defects, being those with a visible screen that failed. The remainder cite probe output, the script that reproduces the defect, or a re-check command.</t>
        </is>
      </c>
    </row>
    <row r="24">
      <c r="A24" s="2" t="inlineStr">
        <is>
          <t>How Verified</t>
        </is>
      </c>
      <c r="B24" s="3" t="inlineStr">
        <is>
          <t>How the defect was established, as recorded in the register.</t>
        </is>
      </c>
    </row>
    <row r="25">
      <c r="A25" s="2" t="inlineStr">
        <is>
          <t>Date Reported</t>
        </is>
      </c>
      <c r="B25" s="3" t="inlineStr">
        <is>
          <t>Recorded for 14 of 79. Per-finding dates were not captured for the remainder; the Phase column gives approximate sequence.</t>
        </is>
      </c>
    </row>
    <row r="26">
      <c r="A26" s="2" t="inlineStr">
        <is>
          <t>Re-check Command</t>
        </is>
      </c>
      <c r="B26" s="3" t="inlineStr">
        <is>
          <t>Present for the 23 defects that can be verified mechanically.</t>
        </is>
      </c>
    </row>
    <row r="27">
      <c r="A27" s="2" t="inlineStr"/>
      <c r="B27" s="3" t="inlineStr"/>
    </row>
    <row r="28">
      <c r="A28" s="2" t="inlineStr">
        <is>
          <t>Maintained by Lighthouse</t>
        </is>
      </c>
      <c r="B28" s="3" t="inlineStr">
        <is>
          <t>Shaded pale yellow: Status, Assigned To, Target Fix Date, Previous Day Status, Today's Status. Status is set to Open throughout and carries a dropdown.</t>
        </is>
      </c>
    </row>
    <row r="29">
      <c r="A29" s="2" t="inlineStr">
        <is>
          <t>Re-checking a fix</t>
        </is>
      </c>
      <c r="B29" s="3" t="inlineStr">
        <is>
          <t>For the 23 with a Re-check Command, run: node verify/run.mjs --only &lt;Bug ID&gt;. It requires Node, installs nothing, and issues read-only requests by default. For the remainder, follow the Steps to Reproduce column.</t>
        </is>
      </c>
    </row>
    <row r="30">
      <c r="A30" s="2" t="inlineStr"/>
      <c r="B30" s="3" t="inlineStr"/>
    </row>
    <row r="31">
      <c r="A31" s="4" t="inlineStr">
        <is>
          <t>Outstanding items</t>
        </is>
      </c>
      <c r="B31" s="3" t="inlineStr"/>
    </row>
    <row r="32">
      <c r="A32" s="2" t="inlineStr">
        <is>
          <t>Immediate fixes</t>
        </is>
      </c>
      <c r="B32" s="3" t="inlineStr">
        <is>
          <t>WC-088, WC-068, WC-023 and WC-121 are each a few minutes of work and require no planning cycle.</t>
        </is>
      </c>
    </row>
    <row r="33">
      <c r="A33" s="2" t="inlineStr">
        <is>
          <t>Characterisation sign-off</t>
        </is>
      </c>
      <c r="B33" s="3" t="inlineStr">
        <is>
          <t>Part 1 of docs/CHARACTERISATION.md. Seven answers to confirm, six to acknowledge, two to answer. Functional-correctness testing and regression closure depend on it.</t>
        </is>
      </c>
    </row>
    <row r="34">
      <c r="A34" s="2" t="inlineStr">
        <is>
          <t>BrowserStack capacity</t>
        </is>
      </c>
      <c r="B34" s="3" t="inlineStr">
        <is>
          <t>One decision, set out in docs/BROWSERSTACK-RECOMMENDATION.md. Affects Phase 3 scope and cost rather than schedule.</t>
        </is>
      </c>
    </row>
    <row r="35">
      <c r="A35" s="2" t="inlineStr">
        <is>
          <t>Independent of the above</t>
        </is>
      </c>
      <c r="B35"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22" customWidth="1" min="5" max="5"/>
    <col width="10" customWidth="1" min="6" max="6"/>
    <col width="26" customWidth="1" min="7" max="7"/>
    <col width="62" customWidth="1" min="8" max="8"/>
    <col width="52" customWidth="1" min="9" max="9"/>
    <col width="72" customWidth="1" min="10" max="10"/>
    <col width="46" customWidth="1" min="11" max="11"/>
    <col width="56" customWidth="1" min="12" max="12"/>
    <col width="34" customWidth="1" min="13" max="13"/>
    <col width="14" customWidth="1" min="14" max="14"/>
    <col width="12" customWidth="1" min="15" max="15"/>
    <col width="16" customWidth="1" min="16" max="16"/>
    <col width="15" customWidth="1" min="17" max="17"/>
    <col width="28" customWidth="1" min="18" max="18"/>
    <col width="28" customWidth="1" min="19" max="19"/>
    <col width="34" customWidth="1" min="20" max="20"/>
  </cols>
  <sheetData>
    <row r="1" ht="34" customHeight="1">
      <c r="A1" s="5" t="inlineStr">
        <is>
          <t>Bug ID</t>
        </is>
      </c>
      <c r="B1" s="5" t="inlineStr">
        <is>
          <t>Bug Title</t>
        </is>
      </c>
      <c r="C1" s="5" t="inlineStr">
        <is>
          <t>Severity</t>
        </is>
      </c>
      <c r="D1" s="5" t="inlineStr">
        <is>
          <t>Priority</t>
        </is>
      </c>
      <c r="E1" s="5" t="inlineStr">
        <is>
          <t>Area</t>
        </is>
      </c>
      <c r="F1" s="5" t="inlineStr">
        <is>
          <t>Phase</t>
        </is>
      </c>
      <c r="G1" s="5" t="inlineStr">
        <is>
          <t>Environment</t>
        </is>
      </c>
      <c r="H1" s="5" t="inlineStr">
        <is>
          <t>Steps to Reproduce</t>
        </is>
      </c>
      <c r="I1" s="5" t="inlineStr">
        <is>
          <t>Expected Result</t>
        </is>
      </c>
      <c r="J1" s="5" t="inlineStr">
        <is>
          <t>Actual Result</t>
        </is>
      </c>
      <c r="K1" s="5" t="inlineStr">
        <is>
          <t>Attachment / Screenshot Reference</t>
        </is>
      </c>
      <c r="L1" s="5" t="inlineStr">
        <is>
          <t>Suggested Fix</t>
        </is>
      </c>
      <c r="M1" s="5" t="inlineStr">
        <is>
          <t>How Verified</t>
        </is>
      </c>
      <c r="N1" s="5" t="inlineStr">
        <is>
          <t>Date Reported</t>
        </is>
      </c>
      <c r="O1" s="5" t="inlineStr">
        <is>
          <t>Status</t>
        </is>
      </c>
      <c r="P1" s="5" t="inlineStr">
        <is>
          <t>Assigned To</t>
        </is>
      </c>
      <c r="Q1" s="5" t="inlineStr">
        <is>
          <t>Target Fix Date</t>
        </is>
      </c>
      <c r="R1" s="5" t="inlineStr">
        <is>
          <t>Previous Day Status</t>
        </is>
      </c>
      <c r="S1" s="5" t="inlineStr">
        <is>
          <t>Today's Status</t>
        </is>
      </c>
      <c r="T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Authorisation</t>
        </is>
      </c>
      <c r="F2" s="7" t="inlineStr">
        <is>
          <t>Phase 1</t>
        </is>
      </c>
      <c r="G2" s="7" t="inlineStr">
        <is>
          <t>UAT / dev (read-only)</t>
        </is>
      </c>
      <c r="H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I2" s="7" t="inlineStr">
        <is>
          <t>The call is refused for a centre the account has no permission over. No record is returned and no record is changed.</t>
        </is>
      </c>
      <c r="J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K2" s="7" t="inlineStr">
        <is>
          <t>evidence/state-boundary-results.json · suite/probes/rbac-write-probe.mjs · re-check: node verify/run.mjs --only WC-048 · findings/findings-log.md -&gt; WC-048</t>
        </is>
      </c>
      <c r="L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M2" s="7" t="inlineStr">
        <is>
          <t>Verified</t>
        </is>
      </c>
      <c r="N2" s="7" t="inlineStr">
        <is>
          <t>2026-09-19</t>
        </is>
      </c>
      <c r="O2" s="9" t="inlineStr">
        <is>
          <t>Open</t>
        </is>
      </c>
      <c r="P2" s="9" t="inlineStr"/>
      <c r="Q2" s="9" t="inlineStr"/>
      <c r="R2" s="9" t="inlineStr">
        <is>
          <t>Open — re-checked 2026-09-25, still present</t>
        </is>
      </c>
      <c r="S2" s="9" t="inlineStr">
        <is>
          <t>Open — awaiting fix</t>
        </is>
      </c>
      <c r="T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Authorisation</t>
        </is>
      </c>
      <c r="F3" s="7" t="inlineStr">
        <is>
          <t>Phase 2</t>
        </is>
      </c>
      <c r="G3" s="7" t="inlineStr">
        <is>
          <t>Isolated stack (synthetic data)</t>
        </is>
      </c>
      <c r="H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I3" s="7" t="inlineStr">
        <is>
          <t>The call is refused for a centre the account has no permission over. No record is returned and no record is changed.</t>
        </is>
      </c>
      <c r="J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K3" s="7" t="inlineStr">
        <is>
          <t>reproductions/s1-batch-close.mjs · evidence/state-boundary-results.json · suite/probes/rbac-write-probe.mjs · re-check: node verify/run.mjs --only WC-084 · findings/findings-log.md -&gt; WC-084</t>
        </is>
      </c>
      <c r="L3" s="7" t="inlineStr">
        <is>
          <t>check location_lcf against the caller's permitted_centres before closing, and remove ignore_permissions=True from the save. The same fix pattern applies across the class.</t>
        </is>
      </c>
      <c r="M3" s="7" t="inlineStr">
        <is>
          <t>Verified — runtime, end-to-end breach</t>
        </is>
      </c>
      <c r="N3" s="7" t="inlineStr"/>
      <c r="O3" s="9" t="inlineStr">
        <is>
          <t>Open</t>
        </is>
      </c>
      <c r="P3" s="9" t="inlineStr"/>
      <c r="Q3" s="9" t="inlineStr"/>
      <c r="R3" s="9" t="inlineStr">
        <is>
          <t>Open — re-checked 2026-09-25, still present</t>
        </is>
      </c>
      <c r="S3" s="9" t="inlineStr">
        <is>
          <t>Open — awaiting fix</t>
        </is>
      </c>
      <c r="T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Authorisation</t>
        </is>
      </c>
      <c r="F4" s="7" t="inlineStr">
        <is>
          <t>Phase 2</t>
        </is>
      </c>
      <c r="G4" s="7" t="inlineStr">
        <is>
          <t>Isolated stack (synthetic data)</t>
        </is>
      </c>
      <c r="H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4" s="7" t="inlineStr">
        <is>
          <t>The call is refused for a centre the account has no permission over. No record is returned and no record is changed.</t>
        </is>
      </c>
      <c r="J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K4" s="7" t="inlineStr">
        <is>
          <t>reproductions/s1-invoice-raise.mjs · evidence/state-boundary-results.json · suite/probes/rbac-write-probe.mjs · re-check: node verify/run.mjs --only WC-095 · findings/findings-log.md -&gt; WC-095</t>
        </is>
      </c>
      <c r="L4" s="7" t="inlineStr">
        <is>
          <t>derive center from the caller's permitted scope; do not accept it as a parameter; remove ignore_permissions=True. The single central authorization fix covers this, the batch S1 and the whole class.</t>
        </is>
      </c>
      <c r="M4" s="7" t="inlineStr">
        <is>
          <t>Verified — runtime, end-to-end breach</t>
        </is>
      </c>
      <c r="N4" s="7" t="inlineStr"/>
      <c r="O4" s="9" t="inlineStr">
        <is>
          <t>Open</t>
        </is>
      </c>
      <c r="P4" s="9" t="inlineStr"/>
      <c r="Q4" s="9" t="inlineStr"/>
      <c r="R4" s="9" t="inlineStr">
        <is>
          <t>Open — re-checked 2026-09-25, still present</t>
        </is>
      </c>
      <c r="S4" s="9" t="inlineStr">
        <is>
          <t>Open — awaiting fix</t>
        </is>
      </c>
      <c r="T4" s="7" t="inlineStr">
        <is>
          <t>node verify/run.mjs --only WC-095</t>
        </is>
      </c>
    </row>
    <row r="5">
      <c r="A5" s="6" t="inlineStr">
        <is>
          <t>WC-003</t>
        </is>
      </c>
      <c r="B5" s="7" t="inlineStr">
        <is>
          <t>Real program PII present in UAT</t>
        </is>
      </c>
      <c r="C5" s="10" t="inlineStr">
        <is>
          <t>S2 Critical</t>
        </is>
      </c>
      <c r="D5" s="7" t="inlineStr">
        <is>
          <t>P1</t>
        </is>
      </c>
      <c r="E5" s="7" t="inlineStr">
        <is>
          <t>Data protection</t>
        </is>
      </c>
      <c r="F5" s="7" t="inlineStr">
        <is>
          <t>Phase 1</t>
        </is>
      </c>
      <c r="G5" s="7" t="inlineStr">
        <is>
          <t>Isolated stack (synthetic data)</t>
        </is>
      </c>
      <c r="H5" s="7" t="inlineStr">
        <is>
          <t>1. Sign in as an authenticated staff account and note the permitted_centres in the login response.
2. Call FC dashboard, Batches list.
3. Compare the centre on every returned record against that permitted list.</t>
        </is>
      </c>
      <c r="I5" s="7" t="inlineStr">
        <is>
          <t>Only data the account is permitted to see is returned, and lower environments hold no real programme data.</t>
        </is>
      </c>
      <c r="J5" s="7" t="inlineStr">
        <is>
          <t>real batch codes, youth counts, real locations (Bhawani Peth, Pune)</t>
        </is>
      </c>
      <c r="K5" s="7" t="inlineStr">
        <is>
          <t>evidence/data-shape.json · evidence/gate-probe-results.json · re-check: node verify/run.mjs --only WC-003 · findings/findings-log.md -&gt; WC-003</t>
        </is>
      </c>
      <c r="L5" s="7" t="inlineStr">
        <is>
          <t>See register.</t>
        </is>
      </c>
      <c r="M5" s="7" t="inlineStr">
        <is>
          <t>Verified — observed at first contact</t>
        </is>
      </c>
      <c r="N5" s="7" t="inlineStr"/>
      <c r="O5" s="9" t="inlineStr">
        <is>
          <t>Open</t>
        </is>
      </c>
      <c r="P5" s="9" t="inlineStr"/>
      <c r="Q5" s="9" t="inlineStr"/>
      <c r="R5" s="9" t="inlineStr">
        <is>
          <t>Open — re-checked 2026-09-25, still present</t>
        </is>
      </c>
      <c r="S5" s="9" t="inlineStr">
        <is>
          <t>Open — awaiting fix</t>
        </is>
      </c>
      <c r="T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Error handling</t>
        </is>
      </c>
      <c r="F6" s="7" t="inlineStr">
        <is>
          <t>Phase 1</t>
        </is>
      </c>
      <c r="G6" s="7" t="inlineStr">
        <is>
          <t>Source review</t>
        </is>
      </c>
      <c r="H6" s="7" t="inlineStr">
        <is>
          <t>1. Sign in as an authenticated staff account.
2. Call youth_skilling.api.screening.screening_schedule_list omitting a required argument, or with an argument of the wrong type.
3. Read the HTTP status and the response body.</t>
        </is>
      </c>
      <c r="I6" s="7" t="inlineStr">
        <is>
          <t>A 4xx response with a message the caller can act on. No stack trace and no HTTP 500.</t>
        </is>
      </c>
      <c r="J6" s="7" t="inlineStr">
        <is>
          <t>HTTP 500 with a JSON body (1,705 chars) containing exception, exc_type, _exc_source, exc. The exc field carries a full Python traceback including server filesystem paths. exc_type is NameError.</t>
        </is>
      </c>
      <c r="K6" s="7" t="inlineStr">
        <is>
          <t>evidence/validation-probe-results.json · suite/probes/validation-probe.mjs · re-check: node verify/run.mjs --only WC-023 · findings/findings-log.md -&gt; WC-023</t>
        </is>
      </c>
      <c r="L6" s="7" t="inlineStr">
        <is>
          <t>disable client-facing traceback rendering in the deployed site config, and return 403 from this endpoint for roles without screening access. Then fix the NameError.</t>
        </is>
      </c>
      <c r="M6" s="7" t="inlineStr">
        <is>
          <t>Verified — escalated 2026-09-19</t>
        </is>
      </c>
      <c r="N6" s="7" t="inlineStr">
        <is>
          <t>2026-09-19</t>
        </is>
      </c>
      <c r="O6" s="9" t="inlineStr">
        <is>
          <t>Open</t>
        </is>
      </c>
      <c r="P6" s="9" t="inlineStr"/>
      <c r="Q6" s="9" t="inlineStr"/>
      <c r="R6" s="9" t="inlineStr">
        <is>
          <t>Open — re-checked 2026-09-25, still present</t>
        </is>
      </c>
      <c r="S6" s="9" t="inlineStr">
        <is>
          <t>Open — awaiting fix</t>
        </is>
      </c>
      <c r="T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Input validation</t>
        </is>
      </c>
      <c r="F7" s="7" t="inlineStr">
        <is>
          <t>Phase 1</t>
        </is>
      </c>
      <c r="G7" s="7" t="inlineStr">
        <is>
          <t>UAT / dev (read-only)</t>
        </is>
      </c>
      <c r="H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I7" s="7" t="inlineStr">
        <is>
          <t>The value is rejected with HTTP 400 and a message naming the field, and nothing is stored.</t>
        </is>
      </c>
      <c r="J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K7" s="7" t="inlineStr">
        <is>
          <t>evidence/validation-probe-results.json · suite/probes/boundary_probe.py · re-check: node verify/run.mjs --only WC-035 · findings/findings-log.md -&gt; WC-035</t>
        </is>
      </c>
      <c r="L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M7" s="7" t="inlineStr">
        <is>
          <t>Verified</t>
        </is>
      </c>
      <c r="N7" s="7" t="inlineStr"/>
      <c r="O7" s="9" t="inlineStr">
        <is>
          <t>Open</t>
        </is>
      </c>
      <c r="P7" s="9" t="inlineStr"/>
      <c r="Q7" s="9" t="inlineStr"/>
      <c r="R7" s="9" t="inlineStr">
        <is>
          <t>Open — re-checked 2026-09-25, still present</t>
        </is>
      </c>
      <c r="S7" s="9" t="inlineStr">
        <is>
          <t>Open — awaiting fix</t>
        </is>
      </c>
      <c r="T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Transactional integrity</t>
        </is>
      </c>
      <c r="F8" s="7" t="inlineStr">
        <is>
          <t>Phase 1</t>
        </is>
      </c>
      <c r="G8" s="7" t="inlineStr">
        <is>
          <t>UAT / dev (read-only)</t>
        </is>
      </c>
      <c r="H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I8" s="7" t="inlineStr">
        <is>
          <t>Repeating the same call does not repeat its effect.</t>
        </is>
      </c>
      <c r="J8" s="7" t="inlineStr">
        <is>
          <t>on page load, with no interaction whatsoever, the application issues POST .../youth_skilling.api.invoice.prepare_tax_invoice?batch_id=&lt;batch&gt;&amp;installment=1&amp;center=&lt;centre&gt;. Reproduced on both the Skilling Partner and Skilling Manager applications.</t>
        </is>
      </c>
      <c r="K8" s="7" t="inlineStr">
        <is>
          <t>evidence/idempotency-results.json · suite/probes/idempotency-probe.mjs · re-check: node verify/run.mjs --only WC-038 · findings/findings-log.md -&gt; WC-038</t>
        </is>
      </c>
      <c r="L8" s="7" t="inlineStr">
        <is>
          <t>the screen should load its data with a GET and perform invoice preparation only on explicit user confirmation.</t>
        </is>
      </c>
      <c r="M8" s="7" t="inlineStr">
        <is>
          <t>Verified</t>
        </is>
      </c>
      <c r="N8" s="7" t="inlineStr"/>
      <c r="O8" s="9" t="inlineStr">
        <is>
          <t>Open</t>
        </is>
      </c>
      <c r="P8" s="9" t="inlineStr"/>
      <c r="Q8" s="9" t="inlineStr"/>
      <c r="R8" s="9" t="inlineStr">
        <is>
          <t>Open — re-checked 2026-09-25, still present</t>
        </is>
      </c>
      <c r="S8" s="9" t="inlineStr">
        <is>
          <t>Open — awaiting fix</t>
        </is>
      </c>
      <c r="T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Error handling</t>
        </is>
      </c>
      <c r="F9" s="7" t="inlineStr">
        <is>
          <t>Phase 1</t>
        </is>
      </c>
      <c r="G9" s="7" t="inlineStr">
        <is>
          <t>UAT / dev (read-only)</t>
        </is>
      </c>
      <c r="H9" s="7" t="inlineStr">
        <is>
          <t>1. Sign in as Facilitator and Counsellor.
2. Call /fc/badge-table omitting a required argument, or with an argument of the wrong type.
3. Read the HTTP status and the response body.</t>
        </is>
      </c>
      <c r="I9" s="7" t="inlineStr">
        <is>
          <t>A 4xx response with a message the caller can act on. No stack trace and no HTTP 500.</t>
        </is>
      </c>
      <c r="J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K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L9" s="7" t="inlineStr">
        <is>
          <t>read identifiers from URL parameters rather than router state, and guard the state access (location.state?.batchId). The identifier is already in the URL for the :batchId routes, so the data needed is present. It is simply not being read from there.</t>
        </is>
      </c>
      <c r="M9" s="7" t="inlineStr">
        <is>
          <t>Verified — root cause, corrects an earlier classification</t>
        </is>
      </c>
      <c r="N9" s="7" t="inlineStr"/>
      <c r="O9" s="9" t="inlineStr">
        <is>
          <t>Open</t>
        </is>
      </c>
      <c r="P9" s="9" t="inlineStr"/>
      <c r="Q9" s="9" t="inlineStr"/>
      <c r="R9" s="9" t="inlineStr">
        <is>
          <t>Open — re-checked 2026-09-25, still present</t>
        </is>
      </c>
      <c r="S9" s="9" t="inlineStr">
        <is>
          <t>Open — awaiting fix</t>
        </is>
      </c>
      <c r="T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Authorisation</t>
        </is>
      </c>
      <c r="F10" s="7" t="inlineStr">
        <is>
          <t>Phase 2</t>
        </is>
      </c>
      <c r="G10" s="7" t="inlineStr">
        <is>
          <t>UAT / dev (read-only)</t>
        </is>
      </c>
      <c r="H10" s="7" t="inlineStr">
        <is>
          <t>1. Sign in as an authenticated staff account — any authenticated account is enough.
2. Call youth_skilling.api.docs.swagger_spec with no special privileges.
3. Observe that the call is accepted rather than refused, and check whether anything changed.</t>
        </is>
      </c>
      <c r="I10" s="7" t="inlineStr">
        <is>
          <t>The endpoint checks the caller's authorisation before acting, and refuses the call when the caller is not permitted.</t>
        </is>
      </c>
      <c r="J10" s="7" t="inlineStr">
        <is>
          <t>GET {BACKEND}/api/method/youth_skilling.api.docs.swagger_spec with no Authorization header returns HTTP 200 and the full specification.</t>
        </is>
      </c>
      <c r="K10" s="7" t="inlineStr">
        <is>
          <t>evidence/gate-probe-results.json · evidence/bypass-endpoints.json · suite/probes/gate-probe.mjs · re-check: node verify/run.mjs --only WC-068 · findings/findings-log.md -&gt; WC-068</t>
        </is>
      </c>
      <c r="L10" s="7" t="inlineStr">
        <is>
          <t>remove allow_guest=True from the three swagger_spec functions. The specifications remain available to authenticated staff, which is presumably the intent. This is a one-word change in three places.</t>
        </is>
      </c>
      <c r="M10" s="7" t="inlineStr">
        <is>
          <t>Verified</t>
        </is>
      </c>
      <c r="N10" s="7" t="inlineStr"/>
      <c r="O10" s="9" t="inlineStr">
        <is>
          <t>Open</t>
        </is>
      </c>
      <c r="P10" s="9" t="inlineStr"/>
      <c r="Q10" s="9" t="inlineStr"/>
      <c r="R10" s="9" t="inlineStr">
        <is>
          <t>Open — re-checked 2026-09-25, still present</t>
        </is>
      </c>
      <c r="S10" s="9" t="inlineStr">
        <is>
          <t>Open — awaiting fix</t>
        </is>
      </c>
      <c r="T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Authorisation</t>
        </is>
      </c>
      <c r="F11" s="7" t="inlineStr">
        <is>
          <t>Phase 2</t>
        </is>
      </c>
      <c r="G11" s="7" t="inlineStr">
        <is>
          <t>UAT / dev (read-only)</t>
        </is>
      </c>
      <c r="H11" s="7" t="inlineStr">
        <is>
          <t>1. Sign in as an authenticated staff account — any authenticated account is enough.
2. Call outreach.apis.task.task.create_task with no special privileges.
3. Observe that the call is accepted rather than refused, and check whether anything changed.</t>
        </is>
      </c>
      <c r="I11" s="7" t="inlineStr">
        <is>
          <t>The endpoint checks the caller's authorisation before acting, and refuses the call when the caller is not permitted.</t>
        </is>
      </c>
      <c r="J11" s="7" t="inlineStr">
        <is>
          <t>Fact; Value; WeConnect doctypes; 293; granting only System Manager; 178; granting no role at all; 115; granting any other role; 0; API endpoints passing ignore_permissions=True; 296 of 866.</t>
        </is>
      </c>
      <c r="K11" s="7" t="inlineStr">
        <is>
          <t>evidence/gate-probe-results.json · evidence/bypass-endpoints.json · suite/probes/gate-probe.mjs · re-check: node verify/run.mjs --only WC-073 · findings/findings-log.md -&gt; WC-073</t>
        </is>
      </c>
      <c r="L11" s="7" t="inlineStr">
        <is>
          <t>define roles per persona with appropriate doctype permissions and assign them through role profiles, so authorisation is a property of the framework rather than of whether each endpoint remembered to check.</t>
        </is>
      </c>
      <c r="M11" s="7" t="inlineStr">
        <is>
          <t>Verified</t>
        </is>
      </c>
      <c r="N11" s="7" t="inlineStr"/>
      <c r="O11" s="9" t="inlineStr">
        <is>
          <t>Open</t>
        </is>
      </c>
      <c r="P11" s="9" t="inlineStr"/>
      <c r="Q11" s="9" t="inlineStr"/>
      <c r="R11" s="9" t="inlineStr">
        <is>
          <t>Open — re-checked 2026-09-25, still present</t>
        </is>
      </c>
      <c r="S11" s="9" t="inlineStr">
        <is>
          <t>Open — awaiting fix</t>
        </is>
      </c>
      <c r="T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Authorisation</t>
        </is>
      </c>
      <c r="F12" s="7" t="inlineStr">
        <is>
          <t>Phase 2</t>
        </is>
      </c>
      <c r="G12" s="7" t="inlineStr">
        <is>
          <t>UAT / dev (read-only)</t>
        </is>
      </c>
      <c r="H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I12" s="7" t="inlineStr">
        <is>
          <t>The endpoint checks the caller's authorisation before acting, and refuses the call when the caller is not permitted.</t>
        </is>
      </c>
      <c r="J12" s="7" t="inlineStr">
        <is>
          <t>An unauthenticated endpoint attempts to provision a System Manager account.</t>
        </is>
      </c>
      <c r="K12" s="7" t="inlineStr">
        <is>
          <t>evidence/gate-probe-results.json · evidence/bypass-endpoints.json · suite/probes/gate-probe.mjs · re-check: node verify/run.mjs --only WC-077 · findings/findings-log.md -&gt; WC-077</t>
        </is>
      </c>
      <c r="L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M12" s="7" t="inlineStr">
        <is>
          <t>Verified — runtime blocks it</t>
        </is>
      </c>
      <c r="N12" s="7" t="inlineStr"/>
      <c r="O12" s="9" t="inlineStr">
        <is>
          <t>Open</t>
        </is>
      </c>
      <c r="P12" s="9" t="inlineStr"/>
      <c r="Q12" s="9" t="inlineStr"/>
      <c r="R12" s="9" t="inlineStr">
        <is>
          <t>Open — re-checked 2026-09-25, still present</t>
        </is>
      </c>
      <c r="S12" s="9" t="inlineStr">
        <is>
          <t>Open — awaiting fix</t>
        </is>
      </c>
      <c r="T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Authorisation</t>
        </is>
      </c>
      <c r="F13" s="7" t="inlineStr">
        <is>
          <t>Phase 2</t>
        </is>
      </c>
      <c r="G13" s="7" t="inlineStr">
        <is>
          <t>Isolated stack (synthetic data)</t>
        </is>
      </c>
      <c r="H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I13" s="7" t="inlineStr">
        <is>
          <t>The endpoint checks the caller's authorisation before acting, and refuses the call when the caller is not permitted.</t>
        </is>
      </c>
      <c r="J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K13" s="7" t="inlineStr">
        <is>
          <t>evidence/gate-probe-results.json · evidence/bypass-endpoints.json · suite/probes/gate-probe.mjs · re-check: node verify/run.mjs --only WC-078 · findings/findings-log.md -&gt; WC-078</t>
        </is>
      </c>
      <c r="L13" s="7" t="inlineStr">
        <is>
          <t>verify the caller owns or has permission for the file's parent document before deleting; scope the lookup to files the caller may access; and log the deletion with the actor.</t>
        </is>
      </c>
      <c r="M13" s="7" t="inlineStr">
        <is>
          <t>Verified — runtime</t>
        </is>
      </c>
      <c r="N13" s="7" t="inlineStr"/>
      <c r="O13" s="9" t="inlineStr">
        <is>
          <t>Open</t>
        </is>
      </c>
      <c r="P13" s="9" t="inlineStr"/>
      <c r="Q13" s="9" t="inlineStr"/>
      <c r="R13" s="9" t="inlineStr">
        <is>
          <t>Open — re-checked 2026-09-25, still present</t>
        </is>
      </c>
      <c r="S13" s="9" t="inlineStr">
        <is>
          <t>Open — awaiting fix</t>
        </is>
      </c>
      <c r="T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Authorisation</t>
        </is>
      </c>
      <c r="F14" s="7" t="inlineStr">
        <is>
          <t>Phase 2</t>
        </is>
      </c>
      <c r="G14" s="7" t="inlineStr">
        <is>
          <t>Source review</t>
        </is>
      </c>
      <c r="H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I14" s="7" t="inlineStr">
        <is>
          <t>The endpoint checks the caller's authorisation before acting, and refuses the call when the caller is not permitted.</t>
        </is>
      </c>
      <c r="J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K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L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M14" s="7" t="inlineStr">
        <is>
          <t>Verified — source + 36/36 confirmed at runtime</t>
        </is>
      </c>
      <c r="N14" s="7" t="inlineStr"/>
      <c r="O14" s="9" t="inlineStr">
        <is>
          <t>Open</t>
        </is>
      </c>
      <c r="P14" s="9" t="inlineStr"/>
      <c r="Q14" s="9" t="inlineStr"/>
      <c r="R14" s="9" t="inlineStr">
        <is>
          <t>Open — re-checked 2026-09-25, still present</t>
        </is>
      </c>
      <c r="S14" s="9" t="inlineStr">
        <is>
          <t>Open — awaiting fix</t>
        </is>
      </c>
      <c r="T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Authorisation</t>
        </is>
      </c>
      <c r="F15" s="7" t="inlineStr">
        <is>
          <t>Phase 2</t>
        </is>
      </c>
      <c r="G15" s="7" t="inlineStr">
        <is>
          <t>Source review</t>
        </is>
      </c>
      <c r="H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15" s="7" t="inlineStr">
        <is>
          <t>The call is refused for a centre the account has no permission over. No record is returned and no record is changed.</t>
        </is>
      </c>
      <c r="J15" s="7" t="inlineStr">
        <is>
          <t>Financial endpoints share the confirmed cross-centre write gap.</t>
        </is>
      </c>
      <c r="K15" s="7" t="inlineStr">
        <is>
          <t>evidence/state-boundary-results.json · suite/probes/rbac-write-probe.mjs · re-check: node verify/run.mjs --only WC-085 · findings/findings-log.md -&gt; WC-085</t>
        </is>
      </c>
      <c r="L15" s="7" t="inlineStr">
        <is>
          <t>derive center from the caller's permitted scope rather than accepting it as a parameter, and remove ignore_permissions=True. Same pattern as the close_batch fix.</t>
        </is>
      </c>
      <c r="M15" s="7" t="inlineStr">
        <is>
          <t>Verified — source; runtime blocked by fixture</t>
        </is>
      </c>
      <c r="N15" s="7" t="inlineStr"/>
      <c r="O15" s="9" t="inlineStr">
        <is>
          <t>Open</t>
        </is>
      </c>
      <c r="P15" s="9" t="inlineStr"/>
      <c r="Q15" s="9" t="inlineStr"/>
      <c r="R15" s="9" t="inlineStr">
        <is>
          <t>Open — re-checked 2026-09-25, still present</t>
        </is>
      </c>
      <c r="S15" s="9" t="inlineStr">
        <is>
          <t>Open — awaiting fix</t>
        </is>
      </c>
      <c r="T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Error handling</t>
        </is>
      </c>
      <c r="F16" s="7" t="inlineStr">
        <is>
          <t>Phase 2</t>
        </is>
      </c>
      <c r="G16" s="7" t="inlineStr">
        <is>
          <t>UAT / dev (read-only)</t>
        </is>
      </c>
      <c r="H16" s="7" t="inlineStr">
        <is>
          <t>1. Sign in as an authenticated staff account.
2. Call outreach/apis/enquiry_form/form.py:38 and outreach/apis/enquiry.py:248 — update_status(ids, document, data) omitting a required argument, or with an argument of the wrong type.
3. Read the HTTP status and the response body.</t>
        </is>
      </c>
      <c r="I16" s="7" t="inlineStr">
        <is>
          <t>A 4xx response with a message the caller can act on. No stack trace and no HTTP 500.</t>
        </is>
      </c>
      <c r="J16" s="7" t="inlineStr">
        <is>
          <t>A valid Enquiry Form was created and its status change attempted through the API; the endpoint returned HTTP 500 UnboundLocalError. Confirmed against source.</t>
        </is>
      </c>
      <c r="K16" s="7" t="inlineStr">
        <is>
          <t>evidence/validation-probe-results.json · suite/probes/validation-probe.mjs · re-check: node verify/run.mjs --only WC-088 · findings/findings-log.md -&gt; WC-088</t>
        </is>
      </c>
      <c r="L16" s="7" t="inlineStr">
        <is>
          <t>ids = json.loads(ids). A one-word correction, and a test that calls the endpoint would have caught it — which is the point of this phase.</t>
        </is>
      </c>
      <c r="M16" s="7" t="inlineStr">
        <is>
          <t>Verified — runtime</t>
        </is>
      </c>
      <c r="N16" s="7" t="inlineStr">
        <is>
          <t>2026-09-22</t>
        </is>
      </c>
      <c r="O16" s="9" t="inlineStr">
        <is>
          <t>Open</t>
        </is>
      </c>
      <c r="P16" s="9" t="inlineStr"/>
      <c r="Q16" s="9" t="inlineStr"/>
      <c r="R16" s="9" t="inlineStr">
        <is>
          <t>Open — re-checked 2026-09-25, still present</t>
        </is>
      </c>
      <c r="S16" s="9" t="inlineStr">
        <is>
          <t>Open — awaiting fix</t>
        </is>
      </c>
      <c r="T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Authorisation</t>
        </is>
      </c>
      <c r="F17" s="7" t="inlineStr">
        <is>
          <t>Phase 2</t>
        </is>
      </c>
      <c r="G17" s="7" t="inlineStr">
        <is>
          <t>UAT / dev (read-only)</t>
        </is>
      </c>
      <c r="H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I17" s="7" t="inlineStr">
        <is>
          <t>The call is refused for a centre the account has no permission over. No record is returned and no record is changed.</t>
        </is>
      </c>
      <c r="J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K17" s="7" t="inlineStr">
        <is>
          <t>evidence/state-boundary-results.json · suite/probes/rbac-write-probe.mjs · re-check: node verify/run.mjs --only WC-105 · findings/findings-log.md -&gt; WC-105</t>
        </is>
      </c>
      <c r="L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M17" s="7" t="inlineStr">
        <is>
          <t>Verified — source, 45 sites; one instance confirmed exploited on the live platform, runtime read-only</t>
        </is>
      </c>
      <c r="N17" s="7" t="inlineStr"/>
      <c r="O17" s="9" t="inlineStr">
        <is>
          <t>Open</t>
        </is>
      </c>
      <c r="P17" s="9" t="inlineStr"/>
      <c r="Q17" s="9" t="inlineStr"/>
      <c r="R17" s="9" t="inlineStr">
        <is>
          <t>Open — re-checked 2026-09-25, still present</t>
        </is>
      </c>
      <c r="S17" s="9" t="inlineStr">
        <is>
          <t>Open — awaiting fix</t>
        </is>
      </c>
      <c r="T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Authorisation</t>
        </is>
      </c>
      <c r="F18" s="7" t="inlineStr">
        <is>
          <t>Phase 2 (security)</t>
        </is>
      </c>
      <c r="G18" s="7" t="inlineStr">
        <is>
          <t>Isolated stack (synthetic data)</t>
        </is>
      </c>
      <c r="H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I18" s="7" t="inlineStr">
        <is>
          <t>The endpoint checks the caller's authorisation before acting, and refuses the call when the caller is not permitted.</t>
        </is>
      </c>
      <c r="J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K18" s="7" t="inlineStr">
        <is>
          <t>evidence/gate-probe-results.json · evidence/bypass-endpoints.json · suite/probes/gate-probe.mjs · re-check: node verify/run.mjs --only WC-115 · findings/findings-log.md -&gt; WC-115</t>
        </is>
      </c>
      <c r="L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M18" s="7" t="inlineStr">
        <is>
          <t>Verified — runtime, isolated instance</t>
        </is>
      </c>
      <c r="N18" s="7" t="inlineStr"/>
      <c r="O18" s="9" t="inlineStr">
        <is>
          <t>Open</t>
        </is>
      </c>
      <c r="P18" s="9" t="inlineStr"/>
      <c r="Q18" s="9" t="inlineStr"/>
      <c r="R18" s="9" t="inlineStr">
        <is>
          <t>Open — re-checked 2026-09-25, still present</t>
        </is>
      </c>
      <c r="S18" s="9" t="inlineStr">
        <is>
          <t>Open — awaiting fix</t>
        </is>
      </c>
      <c r="T18" s="7" t="inlineStr">
        <is>
          <t>node verify/run.mjs --only WC-115</t>
        </is>
      </c>
    </row>
    <row r="19">
      <c r="A19" s="6" t="inlineStr">
        <is>
          <t>WC-002</t>
        </is>
      </c>
      <c r="B19" s="7" t="inlineStr">
        <is>
          <t>Target Data API returns 404</t>
        </is>
      </c>
      <c r="C19" s="10" t="inlineStr">
        <is>
          <t>S2 Critical</t>
        </is>
      </c>
      <c r="D19" s="7" t="inlineStr">
        <is>
          <t>P2</t>
        </is>
      </c>
      <c r="E19" s="7" t="inlineStr">
        <is>
          <t>API contract</t>
        </is>
      </c>
      <c r="F19" s="7" t="inlineStr">
        <is>
          <t>Phase 1</t>
        </is>
      </c>
      <c r="G19" s="7" t="inlineStr">
        <is>
          <t>UAT / dev (read-only)</t>
        </is>
      </c>
      <c r="H19" s="7" t="inlineStr">
        <is>
          <t>1. Sign in as an authenticated staff account and open centre_head.api.target.main_dashboard.main_target (the Target Data widget's API) with the browser network tab open.
2. Find the failing request in the network log.
3. Note its URL and status code.</t>
        </is>
      </c>
      <c r="I19" s="7" t="inlineStr">
        <is>
          <t>The endpoint the screen calls exists on the deployed build and returns its data.</t>
        </is>
      </c>
      <c r="J19" s="7" t="inlineStr">
        <is>
          <t>404; widget shows "Data not available.".</t>
        </is>
      </c>
      <c r="K19" s="7" t="inlineStr">
        <is>
          <t>evidence/write-surface-classified.json · findings/findings-log.md -&gt; WC-002</t>
        </is>
      </c>
      <c r="L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M19" s="7" t="inlineStr">
        <is>
          <t>Verified — observed at first contact</t>
        </is>
      </c>
      <c r="N19" s="7" t="inlineStr"/>
      <c r="O19" s="9" t="inlineStr">
        <is>
          <t>Open</t>
        </is>
      </c>
      <c r="P19" s="9" t="inlineStr"/>
      <c r="Q19" s="9" t="inlineStr"/>
      <c r="R19" s="9" t="inlineStr">
        <is>
          <t>Open</t>
        </is>
      </c>
      <c r="S19" s="9" t="inlineStr">
        <is>
          <t>Open — awaiting fix</t>
        </is>
      </c>
      <c r="T19" s="7" t="inlineStr"/>
    </row>
    <row r="20">
      <c r="A20" s="6" t="inlineStr">
        <is>
          <t>WC-011</t>
        </is>
      </c>
      <c r="B20" s="7" t="inlineStr">
        <is>
          <t>Client-side auth guard is hardcoded to true (disabled)</t>
        </is>
      </c>
      <c r="C20" s="10" t="inlineStr">
        <is>
          <t>S2 Critical</t>
        </is>
      </c>
      <c r="D20" s="7" t="inlineStr">
        <is>
          <t>P2</t>
        </is>
      </c>
      <c r="E20" s="7" t="inlineStr">
        <is>
          <t>Authorisation</t>
        </is>
      </c>
      <c r="F20" s="7" t="inlineStr">
        <is>
          <t>Phase 1</t>
        </is>
      </c>
      <c r="G20" s="7" t="inlineStr">
        <is>
          <t>UAT / dev (read-only)</t>
        </is>
      </c>
      <c r="H20" s="7" t="inlineStr">
        <is>
          <t>1. Sign in as Facilitator and Counsellor — any authenticated account is enough.
2. Call /fc/all-batches with no special privileges.
3. Observe that the call is accepted rather than refused, and check whether anything changed.</t>
        </is>
      </c>
      <c r="I20" s="7" t="inlineStr">
        <is>
          <t>The endpoint checks the caller's authorisation before acting, and refuses the call when the caller is not permitted.</t>
        </is>
      </c>
      <c r="J20" s="7" t="inlineStr">
        <is>
          <t>const isAuthenticated = true; — the route guard never reads auth state. The redirect-to-login branch is dead code. URLs.Login isn't even defined in routes.js (would ReferenceError if that branch ever ran).</t>
        </is>
      </c>
      <c r="K20" s="7" t="inlineStr">
        <is>
          <t>test-results-run2/sweep-route-sweep--fc-rout-8f432--fc-all-batches-AllBatches--fc/test-failed-1.png · evidence/gate-probe-results.json · evidence/bypass-endpoints.json · suite/probes/gate-probe.mjs · findings/findings-log.md -&gt; WC-011</t>
        </is>
      </c>
      <c r="L20" s="7" t="inlineStr">
        <is>
          <t>See register.</t>
        </is>
      </c>
      <c r="M20" s="7" t="inlineStr">
        <is>
          <t>Verified</t>
        </is>
      </c>
      <c r="N20" s="7" t="inlineStr">
        <is>
          <t>2026-09-18</t>
        </is>
      </c>
      <c r="O20" s="9" t="inlineStr">
        <is>
          <t>Open</t>
        </is>
      </c>
      <c r="P20" s="9" t="inlineStr"/>
      <c r="Q20" s="9" t="inlineStr"/>
      <c r="R20" s="9" t="inlineStr">
        <is>
          <t>Open</t>
        </is>
      </c>
      <c r="S20" s="9" t="inlineStr">
        <is>
          <t>Open — awaiting fix</t>
        </is>
      </c>
      <c r="T20" s="7" t="inlineStr"/>
    </row>
    <row r="21">
      <c r="A21" s="6" t="inlineStr">
        <is>
          <t>WC-013</t>
        </is>
      </c>
      <c r="B21" s="7" t="inlineStr">
        <is>
          <t>Long-lived API secret stored in localStorage</t>
        </is>
      </c>
      <c r="C21" s="10" t="inlineStr">
        <is>
          <t>S2 Critical</t>
        </is>
      </c>
      <c r="D21" s="7" t="inlineStr">
        <is>
          <t>P2</t>
        </is>
      </c>
      <c r="E21" s="7" t="inlineStr">
        <is>
          <t>Security configuration</t>
        </is>
      </c>
      <c r="F21" s="7" t="inlineStr">
        <is>
          <t>Phase 1</t>
        </is>
      </c>
      <c r="G21" s="7" t="inlineStr">
        <is>
          <t>UAT / dev (read-only)</t>
        </is>
      </c>
      <c r="H21" s="7" t="inlineStr">
        <is>
          <t>1. No sign-in needed for the header checks.
2. Issue the request described in the Actual Result column against the deployed host.
3. Inspect the response headers (or the cookie attributes) rather than the body.
4. Fastest route: node verify/run.mjs --only WC-013</t>
        </is>
      </c>
      <c r="I21" s="7" t="inlineStr">
        <is>
          <t>The protective setting is in place and the unsafe request is refused.</t>
        </is>
      </c>
      <c r="J21" s="7" t="inlineStr">
        <is>
          <t>login stores Frappe api_key/api_secret in localStorage; every request sends Authorization: token &lt;key&gt;:&lt;secret&gt;.</t>
        </is>
      </c>
      <c r="K21" s="7" t="inlineStr">
        <is>
          <t>verify/run.mjs · findings/findings-log.md -&gt; WC-013</t>
        </is>
      </c>
      <c r="L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M21" s="7" t="inlineStr">
        <is>
          <t>Verified</t>
        </is>
      </c>
      <c r="N21" s="7" t="inlineStr"/>
      <c r="O21" s="9" t="inlineStr">
        <is>
          <t>Open</t>
        </is>
      </c>
      <c r="P21" s="9" t="inlineStr"/>
      <c r="Q21" s="9" t="inlineStr"/>
      <c r="R21" s="9" t="inlineStr">
        <is>
          <t>Open</t>
        </is>
      </c>
      <c r="S21" s="9" t="inlineStr">
        <is>
          <t>Open — awaiting fix</t>
        </is>
      </c>
      <c r="T21" s="7" t="inlineStr"/>
    </row>
    <row r="22">
      <c r="A22" s="6" t="inlineStr">
        <is>
          <t>WC-016</t>
        </is>
      </c>
      <c r="B22" s="7" t="inlineStr">
        <is>
          <t>14 routes render blank on direct load</t>
        </is>
      </c>
      <c r="C22" s="10" t="inlineStr">
        <is>
          <t>S2 Critical</t>
        </is>
      </c>
      <c r="D22" s="7" t="inlineStr">
        <is>
          <t>P2</t>
        </is>
      </c>
      <c r="E22" s="7" t="inlineStr">
        <is>
          <t>Frontend</t>
        </is>
      </c>
      <c r="F22" s="7" t="inlineStr">
        <is>
          <t>Phase 1</t>
        </is>
      </c>
      <c r="G22" s="7" t="inlineStr">
        <is>
          <t>UAT / dev (read-only)</t>
        </is>
      </c>
      <c r="H22" s="7" t="inlineStr">
        <is>
          <t>1. Sign in as Facilitator and Counsellor.
2. Paste /syc/coming-soon into the address bar and load it directly — do not navigate to it from inside the app.
3. Observe whether the screen renders. Open the browser console and note any exception.</t>
        </is>
      </c>
      <c r="I22" s="7" t="inlineStr">
        <is>
          <t>The screen renders its content when the URL is opened directly, refreshed, or reached from a bookmark.</t>
        </is>
      </c>
      <c r="J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K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L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M22" s="7" t="inlineStr">
        <is>
          <t>Verified — three consecutive executions, 2026-09-19</t>
        </is>
      </c>
      <c r="N22" s="7" t="inlineStr">
        <is>
          <t>2026-09-19</t>
        </is>
      </c>
      <c r="O22" s="9" t="inlineStr">
        <is>
          <t>Open</t>
        </is>
      </c>
      <c r="P22" s="9" t="inlineStr"/>
      <c r="Q22" s="9" t="inlineStr"/>
      <c r="R22" s="9" t="inlineStr">
        <is>
          <t>Open</t>
        </is>
      </c>
      <c r="S22" s="9" t="inlineStr">
        <is>
          <t>Open — awaiting fix</t>
        </is>
      </c>
      <c r="T22" s="7" t="inlineStr"/>
    </row>
    <row r="23">
      <c r="A23" s="6" t="inlineStr">
        <is>
          <t>WC-017</t>
        </is>
      </c>
      <c r="B23" s="7" t="inlineStr">
        <is>
          <t>Two "group-based" routes fail identically in both FC and SYC</t>
        </is>
      </c>
      <c r="C23" s="10" t="inlineStr">
        <is>
          <t>S2 Critical</t>
        </is>
      </c>
      <c r="D23" s="7" t="inlineStr">
        <is>
          <t>P2</t>
        </is>
      </c>
      <c r="E23" s="7" t="inlineStr">
        <is>
          <t>Frontend</t>
        </is>
      </c>
      <c r="F23" s="7" t="inlineStr">
        <is>
          <t>Phase 1</t>
        </is>
      </c>
      <c r="G23" s="7" t="inlineStr">
        <is>
          <t>UAT / dev (read-only)</t>
        </is>
      </c>
      <c r="H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I23" s="7" t="inlineStr">
        <is>
          <t>The screen renders its content when the URL is opened directly, refreshed, or reached from a bookmark.</t>
        </is>
      </c>
      <c r="J23" s="7" t="inlineStr">
        <is>
          <t>two independent apps failing on the same two route names points at a shared component (persona-common-components) or a shared route-state contract, not at two coincidental per-app bugs. One fix likely clears four failures.</t>
        </is>
      </c>
      <c r="K23" s="7" t="inlineStr">
        <is>
          <t>findings/findings-log.md -&gt; WC-017</t>
        </is>
      </c>
      <c r="L23" s="7" t="inlineStr">
        <is>
          <t>the same null navigation state as the 14 blank routes — identical cause, identical remedy. Read identifiers from URL parameters rather than router state.</t>
        </is>
      </c>
      <c r="M23" s="7" t="inlineStr">
        <is>
          <t>Verified — new</t>
        </is>
      </c>
      <c r="N23" s="7" t="inlineStr"/>
      <c r="O23" s="9" t="inlineStr">
        <is>
          <t>Open</t>
        </is>
      </c>
      <c r="P23" s="9" t="inlineStr"/>
      <c r="Q23" s="9" t="inlineStr"/>
      <c r="R23" s="9" t="inlineStr">
        <is>
          <t>Open</t>
        </is>
      </c>
      <c r="S23" s="9" t="inlineStr">
        <is>
          <t>Open — awaiting fix</t>
        </is>
      </c>
      <c r="T23" s="7" t="inlineStr"/>
    </row>
    <row r="24">
      <c r="A24" s="6" t="inlineStr">
        <is>
          <t>WC-018</t>
        </is>
      </c>
      <c r="B24" s="7" t="inlineStr">
        <is>
          <t>SYC /curriculum data API returns 500</t>
        </is>
      </c>
      <c r="C24" s="10" t="inlineStr">
        <is>
          <t>S2 Critical</t>
        </is>
      </c>
      <c r="D24" s="7" t="inlineStr">
        <is>
          <t>P2</t>
        </is>
      </c>
      <c r="E24" s="7" t="inlineStr">
        <is>
          <t>Error handling</t>
        </is>
      </c>
      <c r="F24" s="7" t="inlineStr">
        <is>
          <t>Phase 1</t>
        </is>
      </c>
      <c r="G24" s="7" t="inlineStr">
        <is>
          <t>Isolated stack (synthetic data)</t>
        </is>
      </c>
      <c r="H24" s="7" t="inlineStr">
        <is>
          <t>1. Sign in as Skilling Youth Coordinator.
2. Call youth_skilling.api.curriculum.curriculum_list omitting a required argument, or with an argument of the wrong type.
3. Read the HTTP status and the response body.</t>
        </is>
      </c>
      <c r="I24" s="7" t="inlineStr">
        <is>
          <t>A 4xx response with a message the caller can act on. No stack trace and no HTTP 500.</t>
        </is>
      </c>
      <c r="J24" s="7" t="inlineStr">
        <is>
          <t>page shell renders (~140 chars) but a backend data call returns HTTP 500.</t>
        </is>
      </c>
      <c r="K24" s="7" t="inlineStr">
        <is>
          <t>evidence/validation-probe-results.json · suite/probes/validation-probe.mjs · findings/findings-log.md -&gt; WC-018</t>
        </is>
      </c>
      <c r="L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M24" s="7" t="inlineStr">
        <is>
          <t>Verified</t>
        </is>
      </c>
      <c r="N24" s="7" t="inlineStr">
        <is>
          <t>2026-09-20</t>
        </is>
      </c>
      <c r="O24" s="9" t="inlineStr">
        <is>
          <t>Open</t>
        </is>
      </c>
      <c r="P24" s="9" t="inlineStr"/>
      <c r="Q24" s="9" t="inlineStr"/>
      <c r="R24" s="9" t="inlineStr">
        <is>
          <t>Open</t>
        </is>
      </c>
      <c r="S24" s="9" t="inlineStr">
        <is>
          <t>Open — awaiting fix</t>
        </is>
      </c>
      <c r="T24" s="7" t="inlineStr"/>
    </row>
    <row r="25">
      <c r="A25" s="6" t="inlineStr">
        <is>
          <t>WC-020</t>
        </is>
      </c>
      <c r="B25" s="7" t="inlineStr">
        <is>
          <t>Backend returns 500s under modest concurrency</t>
        </is>
      </c>
      <c r="C25" s="10" t="inlineStr">
        <is>
          <t>S2 Critical</t>
        </is>
      </c>
      <c r="D25" s="7" t="inlineStr">
        <is>
          <t>P2</t>
        </is>
      </c>
      <c r="E25" s="7" t="inlineStr">
        <is>
          <t>Performance</t>
        </is>
      </c>
      <c r="F25" s="7" t="inlineStr">
        <is>
          <t>Phase 1</t>
        </is>
      </c>
      <c r="G25" s="7" t="inlineStr">
        <is>
          <t>UAT / dev (read-only)</t>
        </is>
      </c>
      <c r="H25" s="7" t="inlineStr">
        <is>
          <t>1. Drive /fc/family-counselling with several sessions at once, increasing concurrency step by step.
2. Record the HTTP status and response time at each level.
3. Note the point at which results stop being consistent.</t>
        </is>
      </c>
      <c r="I25" s="7" t="inlineStr">
        <is>
          <t>The endpoint responds within the expected load without degrading, and large result sets are paginated.</t>
        </is>
      </c>
      <c r="J25" s="7" t="inlineStr">
        <is>
          <t>at 6 parallel workers many data endpoints returned 500; at ≤3 workers / serialized they return 200. Backend stability/scaling concern. Recommend a dedicated load test.</t>
        </is>
      </c>
      <c r="K25" s="7" t="inlineStr">
        <is>
          <t>test-results/sweep-route-sweep--fc-rout-d40b6-fc-counselling-Counselling--fc/test-failed-1.png · evidence/gate-probe-results.json · findings/findings-log.md -&gt; WC-020</t>
        </is>
      </c>
      <c r="L25" s="7" t="inlineStr">
        <is>
          <t>size the worker pool for the expected concurrency, and return 503 with a retry hint when saturated rather than 500 with a traceback. A 500 tells a client its request was wrong; a 503 tells it to retry, which is the truthful answer under load.</t>
        </is>
      </c>
      <c r="M25" s="7" t="inlineStr">
        <is>
          <t>Verified</t>
        </is>
      </c>
      <c r="N25" s="7" t="inlineStr">
        <is>
          <t>2026-09-18</t>
        </is>
      </c>
      <c r="O25" s="9" t="inlineStr">
        <is>
          <t>Open</t>
        </is>
      </c>
      <c r="P25" s="9" t="inlineStr"/>
      <c r="Q25" s="9" t="inlineStr"/>
      <c r="R25" s="9" t="inlineStr">
        <is>
          <t>Open</t>
        </is>
      </c>
      <c r="S25" s="9" t="inlineStr">
        <is>
          <t>Open — awaiting fix</t>
        </is>
      </c>
      <c r="T25" s="7" t="inlineStr"/>
    </row>
    <row r="26">
      <c r="A26" s="6" t="inlineStr">
        <is>
          <t>WC-027</t>
        </is>
      </c>
      <c r="B26" s="7" t="inlineStr">
        <is>
          <t>Systematic WCAG critical violations, concentrated in shared navigation</t>
        </is>
      </c>
      <c r="C26" s="10" t="inlineStr">
        <is>
          <t>S2 Critical</t>
        </is>
      </c>
      <c r="D26" s="7" t="inlineStr">
        <is>
          <t>P2</t>
        </is>
      </c>
      <c r="E26" s="7" t="inlineStr">
        <is>
          <t>Accessibility</t>
        </is>
      </c>
      <c r="F26" s="7" t="inlineStr">
        <is>
          <t>Phase 1</t>
        </is>
      </c>
      <c r="G26" s="7" t="inlineStr">
        <is>
          <t>UAT / dev (read-only)</t>
        </is>
      </c>
      <c r="H26" s="7" t="inlineStr">
        <is>
          <t>1. Load the shared sidebar navigation component, which appears on every route as an authenticated staff account.
2. Run axe-core against the page (or any WCAG 2.1 AA checker).
3. Read the violations for the element named in the Actual Result column.</t>
        </is>
      </c>
      <c r="I26" s="7" t="inlineStr">
        <is>
          <t>The element meets WCAG 2.1 AA.</t>
        </is>
      </c>
      <c r="J26"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K26" s="7" t="inlineStr">
        <is>
          <t>the axe-core run across all 235 routes · findings/findings-log.md -&gt; WC-027</t>
        </is>
      </c>
      <c r="L26" s="7" t="inlineStr">
        <is>
          <t>correct the sidebar list markup (&lt;li&gt; inside &lt;ul&gt;), add alt to nav icons, give icon-only buttons an aria-label, and remove ARIA attributes not permitted on their roles — all in the shared navigation component.</t>
        </is>
      </c>
      <c r="M26" s="7" t="inlineStr">
        <is>
          <t>Verified</t>
        </is>
      </c>
      <c r="N26" s="7" t="inlineStr"/>
      <c r="O26" s="9" t="inlineStr">
        <is>
          <t>Open</t>
        </is>
      </c>
      <c r="P26" s="9" t="inlineStr"/>
      <c r="Q26" s="9" t="inlineStr"/>
      <c r="R26" s="9" t="inlineStr">
        <is>
          <t>Open</t>
        </is>
      </c>
      <c r="S26" s="9" t="inlineStr">
        <is>
          <t>Open — awaiting fix</t>
        </is>
      </c>
      <c r="T26" s="7" t="inlineStr"/>
    </row>
    <row r="27">
      <c r="A27" s="6" t="inlineStr">
        <is>
          <t>WC-047</t>
        </is>
      </c>
      <c r="B27" s="7" t="inlineStr">
        <is>
          <t>Backend concurrency sensitivity, quantified</t>
        </is>
      </c>
      <c r="C27" s="10" t="inlineStr">
        <is>
          <t>S2 Critical</t>
        </is>
      </c>
      <c r="D27" s="7" t="inlineStr">
        <is>
          <t>P2</t>
        </is>
      </c>
      <c r="E27" s="7" t="inlineStr">
        <is>
          <t>Performance</t>
        </is>
      </c>
      <c r="F27" s="7" t="inlineStr">
        <is>
          <t>Phase 1</t>
        </is>
      </c>
      <c r="G27" s="7" t="inlineStr">
        <is>
          <t>UAT / dev (read-only)</t>
        </is>
      </c>
      <c r="H27" s="7" t="inlineStr">
        <is>
          <t>1. Drive the backend, driven at 3 then 5 concurrent sessions with several sessions at once, increasing concurrency step by step.
2. Record the HTTP status and response time at each level.
3. Note the point at which results stop being consistent.</t>
        </is>
      </c>
      <c r="I27" s="7" t="inlineStr">
        <is>
          <t>The endpoint responds within the expected load without degrading, and large result sets are paginated.</t>
        </is>
      </c>
      <c r="J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K27" s="7" t="inlineStr">
        <is>
          <t>evidence/gate-probe-results.json · findings/findings-log.md -&gt; WC-047</t>
        </is>
      </c>
      <c r="L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M27" s="7" t="inlineStr">
        <is>
          <t>Verified — dose-response</t>
        </is>
      </c>
      <c r="N27" s="7" t="inlineStr"/>
      <c r="O27" s="9" t="inlineStr">
        <is>
          <t>Open</t>
        </is>
      </c>
      <c r="P27" s="9" t="inlineStr"/>
      <c r="Q27" s="9" t="inlineStr"/>
      <c r="R27" s="9" t="inlineStr">
        <is>
          <t>Open</t>
        </is>
      </c>
      <c r="S27" s="9" t="inlineStr">
        <is>
          <t>Open — awaiting fix</t>
        </is>
      </c>
      <c r="T27" s="7" t="inlineStr"/>
    </row>
    <row r="28">
      <c r="A28" s="6" t="inlineStr">
        <is>
          <t>WC-058</t>
        </is>
      </c>
      <c r="B28" s="7" t="inlineStr">
        <is>
          <t>An installed application is absent from the repositories handed over</t>
        </is>
      </c>
      <c r="C28" s="10" t="inlineStr">
        <is>
          <t>S2 Critical</t>
        </is>
      </c>
      <c r="D28" s="7" t="inlineStr">
        <is>
          <t>P2</t>
        </is>
      </c>
      <c r="E28" s="7" t="inlineStr">
        <is>
          <t>Handover / configuration</t>
        </is>
      </c>
      <c r="F28" s="7" t="inlineStr">
        <is>
          <t>Phase 2</t>
        </is>
      </c>
      <c r="G28" s="7" t="inlineStr">
        <is>
          <t>Source review</t>
        </is>
      </c>
      <c r="H28" s="7" t="inlineStr">
        <is>
          <t>Inspection, not a runtime reproduction.
1. Open frappe.utils.change_log.get_versions.
2. Confirm what the Actual Result column describes is present (or absent).
3. Full reasoning is in findings/findings-log.md under WC-058.</t>
        </is>
      </c>
      <c r="I28" s="7" t="inlineStr">
        <is>
          <t>Everything needed to build and run the platform is present in the repositories the foundation owns.</t>
        </is>
      </c>
      <c r="J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K28" s="7" t="inlineStr">
        <is>
          <t>evidence/doctype-schemas.json · suite/probes/compare-environments.mjs · findings/findings-log.md -&gt; WC-058</t>
        </is>
      </c>
      <c r="L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M28" s="7" t="inlineStr">
        <is>
          <t>Verified — corrected 2026-09-20</t>
        </is>
      </c>
      <c r="N28" s="7" t="inlineStr">
        <is>
          <t>2026-09-20</t>
        </is>
      </c>
      <c r="O28" s="9" t="inlineStr">
        <is>
          <t>Open</t>
        </is>
      </c>
      <c r="P28" s="9" t="inlineStr"/>
      <c r="Q28" s="9" t="inlineStr"/>
      <c r="R28" s="9" t="inlineStr">
        <is>
          <t>Open</t>
        </is>
      </c>
      <c r="S28" s="9" t="inlineStr">
        <is>
          <t>Open — awaiting fix</t>
        </is>
      </c>
      <c r="T28" s="7" t="inlineStr"/>
    </row>
    <row r="29">
      <c r="A29" s="6" t="inlineStr">
        <is>
          <t>WC-069</t>
        </is>
      </c>
      <c r="B29" s="7" t="inlineStr">
        <is>
          <t>The permission model exists in no repository</t>
        </is>
      </c>
      <c r="C29" s="10" t="inlineStr">
        <is>
          <t>S2 Critical</t>
        </is>
      </c>
      <c r="D29" s="7" t="inlineStr">
        <is>
          <t>P2</t>
        </is>
      </c>
      <c r="E29" s="7" t="inlineStr">
        <is>
          <t>Handover / configuration</t>
        </is>
      </c>
      <c r="F29" s="7" t="inlineStr">
        <is>
          <t>Phase 2</t>
        </is>
      </c>
      <c r="G29" s="7" t="inlineStr">
        <is>
          <t>Isolated stack (synthetic data)</t>
        </is>
      </c>
      <c r="H29" s="7" t="inlineStr">
        <is>
          <t>Inspection, not a runtime reproduction.
1. Open the Role Profile and DocPerm records — absent from all eighteen repositories.
2. Confirm what the Actual Result column describes is present (or absent).
3. Full reasoning is in findings/findings-log.md under WC-069.</t>
        </is>
      </c>
      <c r="I29" s="7" t="inlineStr">
        <is>
          <t>Everything needed to build and run the platform is present in the repositories the foundation owns.</t>
        </is>
      </c>
      <c r="J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K29" s="7" t="inlineStr">
        <is>
          <t>evidence/doctype-schemas.json · suite/probes/compare-environments.mjs · findings/findings-log.md -&gt; WC-069</t>
        </is>
      </c>
      <c r="L29" s="7" t="inlineStr">
        <is>
          <t>export the roles, role profiles and permission rules as app fixtures so they are versioned with the code that depends on them.</t>
        </is>
      </c>
      <c r="M29" s="7" t="inlineStr">
        <is>
          <t>Verified</t>
        </is>
      </c>
      <c r="N29" s="7" t="inlineStr"/>
      <c r="O29" s="9" t="inlineStr">
        <is>
          <t>Open</t>
        </is>
      </c>
      <c r="P29" s="9" t="inlineStr"/>
      <c r="Q29" s="9" t="inlineStr"/>
      <c r="R29" s="9" t="inlineStr">
        <is>
          <t>Open</t>
        </is>
      </c>
      <c r="S29" s="9" t="inlineStr">
        <is>
          <t>Open — awaiting fix</t>
        </is>
      </c>
      <c r="T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Handover / configuration</t>
        </is>
      </c>
      <c r="F30" s="7" t="inlineStr">
        <is>
          <t>Phase 2</t>
        </is>
      </c>
      <c r="G30" s="7" t="inlineStr">
        <is>
          <t>UAT / dev (read-only)</t>
        </is>
      </c>
      <c r="H30" s="7" t="inlineStr">
        <is>
          <t>Inspection, not a runtime reproduction.
1. Open sites/common_site_config.json and the per-site site_config.json.
2. Confirm what the Actual Result column describes is present (or absent).
3. Full reasoning is in findings/findings-log.md under WC-087.</t>
        </is>
      </c>
      <c r="I30" s="7" t="inlineStr">
        <is>
          <t>Everything needed to build and run the platform is present in the repositories the foundation owns.</t>
        </is>
      </c>
      <c r="J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K30" s="7" t="inlineStr">
        <is>
          <t>evidence/doctype-schemas.json · suite/probes/compare-environments.mjs · findings/findings-log.md -&gt; WC-087</t>
        </is>
      </c>
      <c r="L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M30" s="7" t="inlineStr">
        <is>
          <t>Verified</t>
        </is>
      </c>
      <c r="N30" s="7" t="inlineStr"/>
      <c r="O30" s="9" t="inlineStr">
        <is>
          <t>Open</t>
        </is>
      </c>
      <c r="P30" s="9" t="inlineStr"/>
      <c r="Q30" s="9" t="inlineStr"/>
      <c r="R30" s="9" t="inlineStr">
        <is>
          <t>Open</t>
        </is>
      </c>
      <c r="S30" s="9" t="inlineStr">
        <is>
          <t>Open — awaiting fix</t>
        </is>
      </c>
      <c r="T30" s="7" t="inlineStr"/>
    </row>
    <row r="31">
      <c r="A31" s="6" t="inlineStr">
        <is>
          <t>WC-091</t>
        </is>
      </c>
      <c r="B31" s="7" t="inlineStr">
        <is>
          <t>Application code gates on roles that do not exist on a fresh install</t>
        </is>
      </c>
      <c r="C31" s="10" t="inlineStr">
        <is>
          <t>S2 Critical</t>
        </is>
      </c>
      <c r="D31" s="7" t="inlineStr">
        <is>
          <t>P2</t>
        </is>
      </c>
      <c r="E31" s="7" t="inlineStr">
        <is>
          <t>Handover / configuration</t>
        </is>
      </c>
      <c r="F31" s="7" t="inlineStr">
        <is>
          <t>Phase 2</t>
        </is>
      </c>
      <c r="G31" s="7" t="inlineStr">
        <is>
          <t>UAT / dev (read-only)</t>
        </is>
      </c>
      <c r="H31" s="7" t="inlineStr">
        <is>
          <t>Inspection, not a runtime reproduction.
1. Open frappe.db.exists("Role", "Skilling Partner").
2. Confirm what the Actual Result column describes is present (or absent).
3. Full reasoning is in findings/findings-log.md under WC-091.</t>
        </is>
      </c>
      <c r="I31" s="7" t="inlineStr">
        <is>
          <t>Everything needed to build and run the platform is present in the repositories the foundation owns.</t>
        </is>
      </c>
      <c r="J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K31" s="7" t="inlineStr">
        <is>
          <t>evidence/doctype-schemas.json · suite/probes/compare-environments.mjs · findings/findings-log.md -&gt; WC-091</t>
        </is>
      </c>
      <c r="L31" s="7" t="inlineStr">
        <is>
          <t>ship the roles (and role profiles, and the permission rules that reference them) as fixtures, so a fresh install has the access-control model the code assumes.</t>
        </is>
      </c>
      <c r="M31" s="7" t="inlineStr">
        <is>
          <t>Verified</t>
        </is>
      </c>
      <c r="N31" s="7" t="inlineStr"/>
      <c r="O31" s="9" t="inlineStr">
        <is>
          <t>Open</t>
        </is>
      </c>
      <c r="P31" s="9" t="inlineStr"/>
      <c r="Q31" s="9" t="inlineStr"/>
      <c r="R31" s="9" t="inlineStr">
        <is>
          <t>Open</t>
        </is>
      </c>
      <c r="S31" s="9" t="inlineStr">
        <is>
          <t>Open — awaiting fix</t>
        </is>
      </c>
      <c r="T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Error handling</t>
        </is>
      </c>
      <c r="F32" s="7" t="inlineStr">
        <is>
          <t>Phase 2</t>
        </is>
      </c>
      <c r="G32" s="7" t="inlineStr">
        <is>
          <t>UAT / dev (read-only)</t>
        </is>
      </c>
      <c r="H32" s="7" t="inlineStr">
        <is>
          <t>1. Sign in as an authenticated staff account.
2. Call facilitator_and_counsellor.api.counselling.actions.mark_as_dropoff omitting a required argument, or with an argument of the wrong type.
3. Read the HTTP status and the response body.</t>
        </is>
      </c>
      <c r="I32" s="7" t="inlineStr">
        <is>
          <t>A 4xx response with a message the caller can act on. No stack trace and no HTTP 500.</t>
        </is>
      </c>
      <c r="J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K32" s="7" t="inlineStr">
        <is>
          <t>evidence/validation-probe-results.json · suite/probes/validation-probe.mjs · findings/findings-log.md -&gt; WC-092</t>
        </is>
      </c>
      <c r="L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M32" s="7" t="inlineStr">
        <is>
          <t>Verified — runtime</t>
        </is>
      </c>
      <c r="N32" s="7" t="inlineStr"/>
      <c r="O32" s="9" t="inlineStr">
        <is>
          <t>Open</t>
        </is>
      </c>
      <c r="P32" s="9" t="inlineStr"/>
      <c r="Q32" s="9" t="inlineStr"/>
      <c r="R32" s="9" t="inlineStr">
        <is>
          <t>Open</t>
        </is>
      </c>
      <c r="S32" s="9" t="inlineStr">
        <is>
          <t>Open — awaiting fix</t>
        </is>
      </c>
      <c r="T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Handover / configuration</t>
        </is>
      </c>
      <c r="F33" s="7" t="inlineStr">
        <is>
          <t>Phase 2</t>
        </is>
      </c>
      <c r="G33" s="7" t="inlineStr">
        <is>
          <t>UAT / dev (read-only)</t>
        </is>
      </c>
      <c r="H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I33" s="7" t="inlineStr">
        <is>
          <t>Everything needed to build and run the platform is present in the repositories the foundation owns.</t>
        </is>
      </c>
      <c r="J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K33" s="7" t="inlineStr">
        <is>
          <t>evidence/doctype-schemas.json · suite/probes/compare-environments.mjs · findings/findings-log.md -&gt; WC-103</t>
        </is>
      </c>
      <c r="L33" s="7" t="inlineStr">
        <is>
          <t>ship the Youth Status master as app fixtures, including every value the code writes. A test that asserts each status literal in the codebase exists in the master would have caught this.</t>
        </is>
      </c>
      <c r="M33" s="7" t="inlineStr">
        <is>
          <t>Verified — runtime, root-caused</t>
        </is>
      </c>
      <c r="N33" s="7" t="inlineStr"/>
      <c r="O33" s="9" t="inlineStr">
        <is>
          <t>Open</t>
        </is>
      </c>
      <c r="P33" s="9" t="inlineStr"/>
      <c r="Q33" s="9" t="inlineStr"/>
      <c r="R33" s="9" t="inlineStr">
        <is>
          <t>Open</t>
        </is>
      </c>
      <c r="S33" s="9" t="inlineStr">
        <is>
          <t>Open — awaiting fix</t>
        </is>
      </c>
      <c r="T33" s="7" t="inlineStr"/>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Data protection</t>
        </is>
      </c>
      <c r="F34" s="7" t="inlineStr">
        <is>
          <t>Phase 2</t>
        </is>
      </c>
      <c r="G34" s="7" t="inlineStr">
        <is>
          <t>UAT / dev (read-only)</t>
        </is>
      </c>
      <c r="H34" s="7" t="inlineStr">
        <is>
          <t>1. Sign in as Centre Head and note the permitted_centres in the login response.
2. Call .env.uat and .env.prod in all nine frontend repositories.
3. Compare the centre on every returned record against that permitted list.</t>
        </is>
      </c>
      <c r="I34" s="7" t="inlineStr">
        <is>
          <t>Only data the account is permitted to see is returned, and lower environments hold no real programme data.</t>
        </is>
      </c>
      <c r="J34" s="7" t="inlineStr">
        <is>
          <t>This supersedes and sharpens the earlier "UAT frontend calls the DEV backend API" finding, which recorded one symptom. The defect is uniform and it is committed. - Evidence. Every frontend repository plus the shared component library (9 of 9):</t>
        </is>
      </c>
      <c r="K34" s="7" t="inlineStr">
        <is>
          <t>evidence/data-shape.json · evidence/gate-probe-results.json · findings/findings-log.md -&gt; WC-106</t>
        </is>
      </c>
      <c r="L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M34" s="7" t="inlineStr">
        <is>
          <t>Verified — source, all 9 frontend repositories; hosts confirmed distinct at runtime via DNS and probe</t>
        </is>
      </c>
      <c r="N34" s="7" t="inlineStr"/>
      <c r="O34" s="9" t="inlineStr">
        <is>
          <t>Open</t>
        </is>
      </c>
      <c r="P34" s="9" t="inlineStr"/>
      <c r="Q34" s="9" t="inlineStr"/>
      <c r="R34" s="9" t="inlineStr">
        <is>
          <t>Open</t>
        </is>
      </c>
      <c r="S34" s="9" t="inlineStr">
        <is>
          <t>Open — awaiting fix</t>
        </is>
      </c>
      <c r="T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API contract</t>
        </is>
      </c>
      <c r="F35" s="7" t="inlineStr">
        <is>
          <t>Phase 2</t>
        </is>
      </c>
      <c r="G35" s="7" t="inlineStr">
        <is>
          <t>Source review</t>
        </is>
      </c>
      <c r="H35" s="7" t="inlineStr">
        <is>
          <t>1. Sign in as Outreach Coordinator and open /oc/ with the browser network tab open.
2. Find the failing request in the network log.
3. Note its URL and status code.</t>
        </is>
      </c>
      <c r="I35" s="7" t="inlineStr">
        <is>
          <t>The endpoint the screen calls exists on the deployed build and returns its data.</t>
        </is>
      </c>
      <c r="J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K35" s="7" t="inlineStr">
        <is>
          <t>evidence/write-surface-classified.json · findings/findings-log.md -&gt; WC-110</t>
        </is>
      </c>
      <c r="L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M35" s="7" t="inlineStr">
        <is>
          <t>Verified — source, auth application routing table + backend + repository listing</t>
        </is>
      </c>
      <c r="N35" s="7" t="inlineStr"/>
      <c r="O35" s="9" t="inlineStr">
        <is>
          <t>Open</t>
        </is>
      </c>
      <c r="P35" s="9" t="inlineStr"/>
      <c r="Q35" s="9" t="inlineStr"/>
      <c r="R35" s="9" t="inlineStr">
        <is>
          <t>Open</t>
        </is>
      </c>
      <c r="S35" s="9" t="inlineStr">
        <is>
          <t>Open — awaiting fix</t>
        </is>
      </c>
      <c r="T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Handover / configuration</t>
        </is>
      </c>
      <c r="F36" s="7" t="inlineStr">
        <is>
          <t>Phase 2</t>
        </is>
      </c>
      <c r="G36" s="7" t="inlineStr">
        <is>
          <t>Source review</t>
        </is>
      </c>
      <c r="H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I36" s="7" t="inlineStr">
        <is>
          <t>Everything needed to build and run the platform is present in the repositories the foundation owns.</t>
        </is>
      </c>
      <c r="J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K36" s="7" t="inlineStr">
        <is>
          <t>evidence/doctype-schemas.json · suite/probes/compare-environments.mjs · findings/findings-log.md -&gt; WC-111</t>
        </is>
      </c>
      <c r="L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M36" s="7" t="inlineStr">
        <is>
          <t>Verified — source + clean install, 2026-09-20</t>
        </is>
      </c>
      <c r="N36" s="7" t="inlineStr">
        <is>
          <t>2026-09-20</t>
        </is>
      </c>
      <c r="O36" s="9" t="inlineStr">
        <is>
          <t>Open</t>
        </is>
      </c>
      <c r="P36" s="9" t="inlineStr"/>
      <c r="Q36" s="9" t="inlineStr"/>
      <c r="R36" s="9" t="inlineStr">
        <is>
          <t>Open</t>
        </is>
      </c>
      <c r="S36" s="9" t="inlineStr">
        <is>
          <t>Open — awaiting fix</t>
        </is>
      </c>
      <c r="T36" s="7" t="inlineStr"/>
    </row>
    <row r="37">
      <c r="A37" s="6" t="inlineStr">
        <is>
          <t>WC-112</t>
        </is>
      </c>
      <c r="B37" s="7" t="inlineStr">
        <is>
          <t>The frontend is served with no security headers at all</t>
        </is>
      </c>
      <c r="C37" s="10" t="inlineStr">
        <is>
          <t>S2 Critical</t>
        </is>
      </c>
      <c r="D37" s="7" t="inlineStr">
        <is>
          <t>P2</t>
        </is>
      </c>
      <c r="E37" s="7" t="inlineStr">
        <is>
          <t>Security configuration</t>
        </is>
      </c>
      <c r="F37" s="7" t="inlineStr">
        <is>
          <t>Phase 2</t>
        </is>
      </c>
      <c r="G37" s="7" t="inlineStr">
        <is>
          <t>UAT / dev (read-only)</t>
        </is>
      </c>
      <c r="H37" s="7" t="inlineStr">
        <is>
          <t>1. No sign-in needed for the header checks.
2. Issue the request described in the Actual Result column against the deployed host.
3. Inspect the response headers (or the cookie attributes) rather than the body.
4. Fastest route: node verify/run.mjs --only WC-112</t>
        </is>
      </c>
      <c r="I37" s="7" t="inlineStr">
        <is>
          <t>The protective setting is in place and the unsafe request is refused.</t>
        </is>
      </c>
      <c r="J37"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K37" s="7" t="inlineStr">
        <is>
          <t>verify/run.mjs · re-check: node verify/run.mjs --only WC-112 · findings/findings-log.md -&gt; WC-112</t>
        </is>
      </c>
      <c r="L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M37" s="7" t="inlineStr">
        <is>
          <t>Verified — live, read-only</t>
        </is>
      </c>
      <c r="N37" s="7" t="inlineStr"/>
      <c r="O37" s="9" t="inlineStr">
        <is>
          <t>Open</t>
        </is>
      </c>
      <c r="P37" s="9" t="inlineStr"/>
      <c r="Q37" s="9" t="inlineStr"/>
      <c r="R37" s="9" t="inlineStr">
        <is>
          <t>Open — re-checked 2026-09-25, still present</t>
        </is>
      </c>
      <c r="S37" s="9" t="inlineStr">
        <is>
          <t>Open — awaiting fix</t>
        </is>
      </c>
      <c r="T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Security configuration</t>
        </is>
      </c>
      <c r="F38" s="7" t="inlineStr">
        <is>
          <t>Phase 2 (security)</t>
        </is>
      </c>
      <c r="G38" s="7" t="inlineStr">
        <is>
          <t>Source review</t>
        </is>
      </c>
      <c r="H38" s="7" t="inlineStr">
        <is>
          <t>1. No sign-in needed for the header checks.
2. Issue the request described in the Actual Result column against the deployed host.
3. Inspect the response headers (or the cookie attributes) rather than the body.
4. Fastest route: node verify/run.mjs --only WC-118</t>
        </is>
      </c>
      <c r="I38" s="7" t="inlineStr">
        <is>
          <t>The protective setting is in place and the unsafe request is refused.</t>
        </is>
      </c>
      <c r="J38" s="7" t="inlineStr">
        <is>
          <t>Forty consecutive authenticated requests to youth_skilling.api.utils.get_training_center_list returned HTTP 200 every time. No 429, no Retry-After, no throttling of any kind.</t>
        </is>
      </c>
      <c r="K38" s="7" t="inlineStr">
        <is>
          <t>verify/run.mjs · findings/findings-log.md -&gt; WC-118</t>
        </is>
      </c>
      <c r="L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M38" s="7" t="inlineStr">
        <is>
          <t>Verified — runtime</t>
        </is>
      </c>
      <c r="N38" s="7" t="inlineStr"/>
      <c r="O38" s="9" t="inlineStr">
        <is>
          <t>Open</t>
        </is>
      </c>
      <c r="P38" s="9" t="inlineStr"/>
      <c r="Q38" s="9" t="inlineStr"/>
      <c r="R38" s="9" t="inlineStr">
        <is>
          <t>Open</t>
        </is>
      </c>
      <c r="S38" s="9" t="inlineStr">
        <is>
          <t>Open — awaiting fix</t>
        </is>
      </c>
      <c r="T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Authorisation</t>
        </is>
      </c>
      <c r="F39" s="7" t="inlineStr">
        <is>
          <t>Phase 2 (security)</t>
        </is>
      </c>
      <c r="G39" s="7" t="inlineStr">
        <is>
          <t>Isolated stack (synthetic data)</t>
        </is>
      </c>
      <c r="H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I39" s="7" t="inlineStr">
        <is>
          <t>Only the fields the endpoint declares are written. Any other field in the payload is rejected.</t>
        </is>
      </c>
      <c r="J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K39" s="7" t="inlineStr">
        <is>
          <t>suite/probes/mass-assignment-probe.mjs · suite/probes/mass_assignment_scan.py · re-check: node verify/run.mjs --only WC-122 · findings/findings-log.md -&gt; WC-122</t>
        </is>
      </c>
      <c r="L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M39" s="7" t="inlineStr">
        <is>
          <t>Verified — reproduced against the isolated stack</t>
        </is>
      </c>
      <c r="N39" s="7" t="inlineStr"/>
      <c r="O39" s="9" t="inlineStr">
        <is>
          <t>Open</t>
        </is>
      </c>
      <c r="P39" s="9" t="inlineStr"/>
      <c r="Q39" s="9" t="inlineStr"/>
      <c r="R39" s="9" t="inlineStr">
        <is>
          <t>Open — re-checked 2026-09-25, still present</t>
        </is>
      </c>
      <c r="S39" s="9" t="inlineStr">
        <is>
          <t>Open — awaiting fix</t>
        </is>
      </c>
      <c r="T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Input validation</t>
        </is>
      </c>
      <c r="F40" s="7" t="inlineStr">
        <is>
          <t>Phase 2 (security)</t>
        </is>
      </c>
      <c r="G40" s="7" t="inlineStr">
        <is>
          <t>Isolated stack (synthetic data)</t>
        </is>
      </c>
      <c r="H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I40" s="7" t="inlineStr">
        <is>
          <t>The value is rejected with HTTP 400 and a message naming the field, and nothing is stored.</t>
        </is>
      </c>
      <c r="J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K40" s="7" t="inlineStr">
        <is>
          <t>suite/probes/ · suite/probes/chained-boundary-probe.mjs · evidence/validation-probe-results.json · suite/probes/boundary_probe.py · re-check: node verify/run.mjs --only WC-125 · findings/findings-log.md -&gt; WC-125</t>
        </is>
      </c>
      <c r="L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M40" s="7" t="inlineStr">
        <is>
          <t>Verified — reproduced against the isolated stack</t>
        </is>
      </c>
      <c r="N40" s="7" t="inlineStr"/>
      <c r="O40" s="9" t="inlineStr">
        <is>
          <t>Open</t>
        </is>
      </c>
      <c r="P40" s="9" t="inlineStr"/>
      <c r="Q40" s="9" t="inlineStr"/>
      <c r="R40" s="9" t="inlineStr">
        <is>
          <t>Open — re-checked 2026-09-25, still present</t>
        </is>
      </c>
      <c r="S40" s="9" t="inlineStr">
        <is>
          <t>Open — awaiting fix</t>
        </is>
      </c>
      <c r="T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Workflow / state</t>
        </is>
      </c>
      <c r="F41" s="7" t="inlineStr">
        <is>
          <t>Phase 2 (security)</t>
        </is>
      </c>
      <c r="G41" s="7" t="inlineStr">
        <is>
          <t>Isolated stack (synthetic data)</t>
        </is>
      </c>
      <c r="H41" s="7" t="inlineStr">
        <is>
          <t>1. Pick a record with a status field (for example a Skilling Invoice).
2. Set its status to one value and save.
3. Set it to a value the workflow should not allow from there (for example Paid back to Not Raised Yet) and save.
4. Read the status back.</t>
        </is>
      </c>
      <c r="I41" s="7" t="inlineStr">
        <is>
          <t>A transition the workflow does not allow is refused, and the record keeps its previous status.</t>
        </is>
      </c>
      <c r="J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K41" s="7" t="inlineStr">
        <is>
          <t>suite/probes/ · suite/probes/state_transition_probe.py · evidence/state-boundary-results.json · re-check: node verify/run.mjs --only WC-126 · findings/findings-log.md -&gt; WC-126</t>
        </is>
      </c>
      <c r="L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M41" s="7" t="inlineStr">
        <is>
          <t>Verified — reproduced against the isolated stack</t>
        </is>
      </c>
      <c r="N41" s="7" t="inlineStr"/>
      <c r="O41" s="9" t="inlineStr">
        <is>
          <t>Open</t>
        </is>
      </c>
      <c r="P41" s="9" t="inlineStr"/>
      <c r="Q41" s="9" t="inlineStr"/>
      <c r="R41" s="9" t="inlineStr">
        <is>
          <t>Open — re-checked 2026-09-25, still present</t>
        </is>
      </c>
      <c r="S41" s="9" t="inlineStr">
        <is>
          <t>Open — awaiting fix</t>
        </is>
      </c>
      <c r="T41" s="7" t="inlineStr">
        <is>
          <t>node verify/run.mjs --only WC-126</t>
        </is>
      </c>
    </row>
    <row r="42">
      <c r="A42" s="6" t="inlineStr">
        <is>
          <t>WC-004</t>
        </is>
      </c>
      <c r="B42" s="7" t="inlineStr">
        <is>
          <t>Committed env files in frontend repos</t>
        </is>
      </c>
      <c r="C42" s="11" t="inlineStr">
        <is>
          <t>S3 Major</t>
        </is>
      </c>
      <c r="D42" s="7" t="inlineStr">
        <is>
          <t>P2</t>
        </is>
      </c>
      <c r="E42" s="7" t="inlineStr">
        <is>
          <t>Handover / configuration</t>
        </is>
      </c>
      <c r="F42" s="7" t="inlineStr">
        <is>
          <t>Phase 1</t>
        </is>
      </c>
      <c r="G42" s="7" t="inlineStr">
        <is>
          <t>UAT / dev (read-only)</t>
        </is>
      </c>
      <c r="H42" s="7" t="inlineStr">
        <is>
          <t>Inspection, not a runtime reproduction.
1. Open weconnect-frontend-fc repo, dev branch: .env, .env.uat, .env.prod tracked.
2. Confirm what the Actual Result column describes is present (or absent).
3. Full reasoning is in findings/findings-log.md under WC-004.</t>
        </is>
      </c>
      <c r="I42" s="7" t="inlineStr">
        <is>
          <t>Everything needed to build and run the platform is present in the repositories the foundation owns.</t>
        </is>
      </c>
      <c r="J42" s="7" t="inlineStr">
        <is>
          <t>hygiene; .env.prod should not be committed. (Contents not inspected.)</t>
        </is>
      </c>
      <c r="K42" s="7" t="inlineStr">
        <is>
          <t>evidence/doctype-schemas.json · suite/probes/compare-environments.mjs · findings/findings-log.md -&gt; WC-004</t>
        </is>
      </c>
      <c r="L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M42" s="7" t="inlineStr">
        <is>
          <t>Not recorded</t>
        </is>
      </c>
      <c r="N42" s="7" t="inlineStr">
        <is>
          <t>2026-09-20</t>
        </is>
      </c>
      <c r="O42" s="9" t="inlineStr">
        <is>
          <t>Open</t>
        </is>
      </c>
      <c r="P42" s="9" t="inlineStr"/>
      <c r="Q42" s="9" t="inlineStr"/>
      <c r="R42" s="9" t="inlineStr">
        <is>
          <t>Open</t>
        </is>
      </c>
      <c r="S42" s="9" t="inlineStr">
        <is>
          <t>Open — awaiting fix</t>
        </is>
      </c>
      <c r="T42" s="7" t="inlineStr"/>
    </row>
    <row r="43">
      <c r="A43" s="6" t="inlineStr">
        <is>
          <t>WC-065</t>
        </is>
      </c>
      <c r="B43" s="7" t="inlineStr">
        <is>
          <t>A selector endpoint returns the entire youth population, unpaginated</t>
        </is>
      </c>
      <c r="C43" s="11" t="inlineStr">
        <is>
          <t>S3 Major</t>
        </is>
      </c>
      <c r="D43" s="7" t="inlineStr">
        <is>
          <t>P2</t>
        </is>
      </c>
      <c r="E43" s="7" t="inlineStr">
        <is>
          <t>Performance</t>
        </is>
      </c>
      <c r="F43" s="7" t="inlineStr">
        <is>
          <t>Phase 2</t>
        </is>
      </c>
      <c r="G43" s="7" t="inlineStr">
        <is>
          <t>UAT / dev (read-only)</t>
        </is>
      </c>
      <c r="H43" s="7" t="inlineStr">
        <is>
          <t>1. Drive facilitator_and_counsellor.api.counselling.helper.get_youth_list with several sessions at once, increasing concurrency step by step.
2. Record the HTTP status and response time at each level.
3. Note the point at which results stop being consistent.</t>
        </is>
      </c>
      <c r="I43" s="7" t="inlineStr">
        <is>
          <t>The endpoint responds within the expected load without degrading, and large result sets are paginated.</t>
        </is>
      </c>
      <c r="J43" s="7" t="inlineStr">
        <is>
          <t>3,825 records in a single response — 204 KB, 1.82 s. The response carries a count field but no total_pages or total_data_count, and accepts no page parameter.</t>
        </is>
      </c>
      <c r="K43" s="7" t="inlineStr">
        <is>
          <t>evidence/gate-probe-results.json · findings/findings-log.md -&gt; WC-065</t>
        </is>
      </c>
      <c r="L43" s="7" t="inlineStr">
        <is>
          <t>paginate it as the sibling endpoints already do, or make it a server-side search that returns matches for a typed prefix rather than the full population.</t>
        </is>
      </c>
      <c r="M43" s="7" t="inlineStr">
        <is>
          <t>Verified</t>
        </is>
      </c>
      <c r="N43" s="7" t="inlineStr"/>
      <c r="O43" s="9" t="inlineStr">
        <is>
          <t>Open</t>
        </is>
      </c>
      <c r="P43" s="9" t="inlineStr"/>
      <c r="Q43" s="9" t="inlineStr"/>
      <c r="R43" s="9" t="inlineStr">
        <is>
          <t>Open</t>
        </is>
      </c>
      <c r="S43" s="9" t="inlineStr">
        <is>
          <t>Open — awaiting fix</t>
        </is>
      </c>
      <c r="T43" s="7" t="inlineStr"/>
    </row>
    <row r="44">
      <c r="A44" s="6" t="inlineStr">
        <is>
          <t>WC-080</t>
        </is>
      </c>
      <c r="B44" s="7" t="inlineStr">
        <is>
          <t>move_youth creates a batch-transfer approval for any youth with no caller check</t>
        </is>
      </c>
      <c r="C44" s="11" t="inlineStr">
        <is>
          <t>S3 Major</t>
        </is>
      </c>
      <c r="D44" s="7" t="inlineStr">
        <is>
          <t>P2</t>
        </is>
      </c>
      <c r="E44" s="7" t="inlineStr">
        <is>
          <t>Authorisation</t>
        </is>
      </c>
      <c r="F44" s="7" t="inlineStr">
        <is>
          <t>Phase 2</t>
        </is>
      </c>
      <c r="G44" s="7" t="inlineStr">
        <is>
          <t>Source review</t>
        </is>
      </c>
      <c r="H44" s="7" t="inlineStr">
        <is>
          <t>1. Sign in as an authenticated staff account — any authenticated account is enough.
2. Call frappe.session.user with no special privileges.
3. Observe that the call is accepted rather than refused, and check whether anything changed.</t>
        </is>
      </c>
      <c r="I44" s="7" t="inlineStr">
        <is>
          <t>The endpoint checks the caller's authorisation before acting, and refuses the call when the caller is not permitted.</t>
        </is>
      </c>
      <c r="J44" s="7" t="inlineStr">
        <is>
          <t>move_youth creates a batch-transfer approval for any youth with no caller check.</t>
        </is>
      </c>
      <c r="K44" s="7" t="inlineStr">
        <is>
          <t>evidence/gate-probe-results.json · evidence/bypass-endpoints.json · suite/probes/gate-probe.mjs · findings/findings-log.md -&gt; WC-080</t>
        </is>
      </c>
      <c r="L44" s="7" t="inlineStr">
        <is>
          <t>check the caller's permitted_centres against the youth's centre before creating the approval.</t>
        </is>
      </c>
      <c r="M44" s="7" t="inlineStr">
        <is>
          <t>Verified — source</t>
        </is>
      </c>
      <c r="N44" s="7" t="inlineStr"/>
      <c r="O44" s="9" t="inlineStr">
        <is>
          <t>Open</t>
        </is>
      </c>
      <c r="P44" s="9" t="inlineStr"/>
      <c r="Q44" s="9" t="inlineStr"/>
      <c r="R44" s="9" t="inlineStr">
        <is>
          <t>Open</t>
        </is>
      </c>
      <c r="S44" s="9" t="inlineStr">
        <is>
          <t>Open — awaiting fix</t>
        </is>
      </c>
      <c r="T44" s="7" t="inlineStr"/>
    </row>
    <row r="45">
      <c r="A45" s="6" t="inlineStr">
        <is>
          <t>WC-097</t>
        </is>
      </c>
      <c r="B45" s="7" t="inlineStr">
        <is>
          <t>Batch deletion performs no dependent-record check</t>
        </is>
      </c>
      <c r="C45" s="11" t="inlineStr">
        <is>
          <t>S3 Major</t>
        </is>
      </c>
      <c r="D45" s="7" t="inlineStr">
        <is>
          <t>P2</t>
        </is>
      </c>
      <c r="E45" s="7" t="inlineStr">
        <is>
          <t>Transactional integrity</t>
        </is>
      </c>
      <c r="F45" s="7" t="inlineStr">
        <is>
          <t>Phase 2</t>
        </is>
      </c>
      <c r="G45" s="7" t="inlineStr">
        <is>
          <t>Source review</t>
        </is>
      </c>
      <c r="H45" s="7" t="inlineStr">
        <is>
          <t>1. Create a parent record with at least one dependent record attached.
2. Call batch_management/api/pathway_batch/form.py, mark_as_deleted(ids, remarks) to remove the parent.
3. Check what happened to the dependents.</t>
        </is>
      </c>
      <c r="I45" s="7" t="inlineStr">
        <is>
          <t>A record with dependents cannot be removed without an explicit, acknowledged cascade.</t>
        </is>
      </c>
      <c r="J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K45" s="7" t="inlineStr">
        <is>
          <t>evidence/lifecycle-coverage.json · suite/probes/lifecycle-probe.mjs · findings/findings-log.md -&gt; WC-097</t>
        </is>
      </c>
      <c r="L45" s="7" t="inlineStr">
        <is>
          <t>refuse deletion (or require explicit confirmation) when dependent records exist, and check the caller's centre scope as with the other write endpoints.</t>
        </is>
      </c>
      <c r="M45" s="7" t="inlineStr">
        <is>
          <t>Verified — source</t>
        </is>
      </c>
      <c r="N45" s="7" t="inlineStr"/>
      <c r="O45" s="9" t="inlineStr">
        <is>
          <t>Open</t>
        </is>
      </c>
      <c r="P45" s="9" t="inlineStr"/>
      <c r="Q45" s="9" t="inlineStr"/>
      <c r="R45" s="9" t="inlineStr">
        <is>
          <t>Open</t>
        </is>
      </c>
      <c r="S45" s="9" t="inlineStr">
        <is>
          <t>Open — awaiting fix</t>
        </is>
      </c>
      <c r="T45" s="7" t="inlineStr"/>
    </row>
    <row r="46">
      <c r="A46" s="6" t="inlineStr">
        <is>
          <t>WC-099</t>
        </is>
      </c>
      <c r="B46" s="7" t="inlineStr">
        <is>
          <t>Financial and state-change endpoints are not idempotent</t>
        </is>
      </c>
      <c r="C46" s="11" t="inlineStr">
        <is>
          <t>S3 Major</t>
        </is>
      </c>
      <c r="D46" s="7" t="inlineStr">
        <is>
          <t>P2</t>
        </is>
      </c>
      <c r="E46" s="7" t="inlineStr">
        <is>
          <t>API contract</t>
        </is>
      </c>
      <c r="F46" s="7" t="inlineStr">
        <is>
          <t>Phase 2</t>
        </is>
      </c>
      <c r="G46" s="7" t="inlineStr">
        <is>
          <t>UAT / dev (read-only)</t>
        </is>
      </c>
      <c r="H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I46" s="7" t="inlineStr">
        <is>
          <t>The HTTP status matches the outcome: a failure returns 4xx/5xx, never 200, and the response shape is consistent.</t>
        </is>
      </c>
      <c r="J46"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K46" s="7" t="inlineStr">
        <is>
          <t>evidence/validation-probe-results.json · evidence/write-surface-classified.json · findings/findings-log.md -&gt; WC-099</t>
        </is>
      </c>
      <c r="L46" s="7" t="inlineStr">
        <is>
          <t>guard state transitions on the current state (refuse to raise an already-raised invoice), and accept an idempotency key on creates so a retried request returns the original record rather than a duplicate.</t>
        </is>
      </c>
      <c r="M46" s="7" t="inlineStr">
        <is>
          <t>Verified — runtime</t>
        </is>
      </c>
      <c r="N46" s="7" t="inlineStr"/>
      <c r="O46" s="9" t="inlineStr">
        <is>
          <t>Open</t>
        </is>
      </c>
      <c r="P46" s="9" t="inlineStr"/>
      <c r="Q46" s="9" t="inlineStr"/>
      <c r="R46" s="9" t="inlineStr">
        <is>
          <t>Open</t>
        </is>
      </c>
      <c r="S46" s="9" t="inlineStr">
        <is>
          <t>Open — awaiting fix</t>
        </is>
      </c>
      <c r="T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Data protection</t>
        </is>
      </c>
      <c r="F47" s="7" t="inlineStr">
        <is>
          <t>Phase 2</t>
        </is>
      </c>
      <c r="G47" s="7" t="inlineStr">
        <is>
          <t>Isolated stack (synthetic data)</t>
        </is>
      </c>
      <c r="H47" s="7" t="inlineStr">
        <is>
          <t>1. Sign in as Outreach Coordinator and note the permitted_centres in the login response.
2. Call youth_skilling.api.dashboard.get_invoice_count.
3. Compare the centre on every returned record against that permitted list.</t>
        </is>
      </c>
      <c r="I47" s="7" t="inlineStr">
        <is>
          <t>Only data the account is permitted to see is returned, and lower environments hold no real programme data.</t>
        </is>
      </c>
      <c r="J47" s="7" t="inlineStr">
        <is>
          <t>the handler calls frappe.db.count("Skilling Invoice", {"current_status": ...}) with no centre predicate. frappe.db.count does not apply permissions, so no scoping occurs by any route. This one genuinely has no filter, unlike its siblings on the same dashboard.</t>
        </is>
      </c>
      <c r="K47" s="7" t="inlineStr">
        <is>
          <t>evidence/data-shape.json · evidence/gate-probe-results.json · findings/findings-log.md -&gt; WC-109</t>
        </is>
      </c>
      <c r="L47" s="7" t="inlineStr">
        <is>
          <t>filter by the caller's permitted centres, as the sibling cards attempt to, and prefer frappe.get_list/get_all with an explicit centre predicate over frappe.db.count.</t>
        </is>
      </c>
      <c r="M47" s="7" t="inlineStr">
        <is>
          <t>Verified — runtime, three disjoint personas</t>
        </is>
      </c>
      <c r="N47" s="7" t="inlineStr"/>
      <c r="O47" s="9" t="inlineStr">
        <is>
          <t>Open</t>
        </is>
      </c>
      <c r="P47" s="9" t="inlineStr"/>
      <c r="Q47" s="9" t="inlineStr"/>
      <c r="R47" s="9" t="inlineStr">
        <is>
          <t>Open</t>
        </is>
      </c>
      <c r="S47" s="9" t="inlineStr">
        <is>
          <t>Open — awaiting fix</t>
        </is>
      </c>
      <c r="T47" s="7" t="inlineStr"/>
    </row>
    <row r="48">
      <c r="A48" s="6" t="inlineStr">
        <is>
          <t>WC-116</t>
        </is>
      </c>
      <c r="B48" s="7" t="inlineStr">
        <is>
          <t>Session lifetime is seven days, which compounds the token-storage exposure</t>
        </is>
      </c>
      <c r="C48" s="11" t="inlineStr">
        <is>
          <t>S3 Major</t>
        </is>
      </c>
      <c r="D48" s="7" t="inlineStr">
        <is>
          <t>P2</t>
        </is>
      </c>
      <c r="E48" s="7" t="inlineStr">
        <is>
          <t>Security configuration</t>
        </is>
      </c>
      <c r="F48" s="7" t="inlineStr">
        <is>
          <t>Phase 2 (security)</t>
        </is>
      </c>
      <c r="G48" s="7" t="inlineStr">
        <is>
          <t>Isolated stack (synthetic data)</t>
        </is>
      </c>
      <c r="H48" s="7" t="inlineStr">
        <is>
          <t>1. No sign-in needed for the header checks.
2. Issue the request described in the Actual Result column against the deployed host.
3. Inspect the response headers (or the cookie attributes) rather than the body.
4. Fastest route: node verify/run.mjs --only WC-116</t>
        </is>
      </c>
      <c r="I48" s="7" t="inlineStr">
        <is>
          <t>The protective setting is in place and the unsafe request is refused.</t>
        </is>
      </c>
      <c r="J48" s="7" t="inlineStr">
        <is>
          <t>System Settings reports session_expiry = 170:00, which is 170 hours, a little over seven days. force_user_to_reset_password = 0 and minimum_password_score = 2 on Frappe's 0–4 scale, which zxcvbn describes as "somewhat guessable".</t>
        </is>
      </c>
      <c r="K48" s="7" t="inlineStr">
        <is>
          <t>verify/run.mjs · re-check: node verify/run.mjs --only WC-116 · findings/findings-log.md -&gt; WC-116</t>
        </is>
      </c>
      <c r="L48" s="7" t="inlineStr">
        <is>
          <t>shorten the session lifetime to something proportionate to a working day, move the credential to the httpOnly cookie the API already issues, and raise the minimum password score. None of these requires application changes; they are settings.</t>
        </is>
      </c>
      <c r="M48" s="7" t="inlineStr">
        <is>
          <t>Verified — System Settings, isolated instance built from the client's own configuration path</t>
        </is>
      </c>
      <c r="N48" s="7" t="inlineStr"/>
      <c r="O48" s="9" t="inlineStr">
        <is>
          <t>Open</t>
        </is>
      </c>
      <c r="P48" s="9" t="inlineStr"/>
      <c r="Q48" s="9" t="inlineStr"/>
      <c r="R48" s="9" t="inlineStr">
        <is>
          <t>Open — re-checked 2026-09-25, still present</t>
        </is>
      </c>
      <c r="S48" s="9" t="inlineStr">
        <is>
          <t>Open — awaiting fix</t>
        </is>
      </c>
      <c r="T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Security configuration</t>
        </is>
      </c>
      <c r="F49" s="7" t="inlineStr">
        <is>
          <t>Phase 2 (security)</t>
        </is>
      </c>
      <c r="G49" s="7" t="inlineStr">
        <is>
          <t>UAT / dev (read-only)</t>
        </is>
      </c>
      <c r="H49" s="7" t="inlineStr">
        <is>
          <t>1. No sign-in needed for the header checks.
2. Issue the request described in the Actual Result column against the deployed host.
3. Inspect the response headers (or the cookie attributes) rather than the body.
4. Fastest route: node verify/run.mjs --only WC-121</t>
        </is>
      </c>
      <c r="I49" s="7" t="inlineStr">
        <is>
          <t>The protective setting is in place and the unsafe request is refused.</t>
        </is>
      </c>
      <c r="J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K49" s="7" t="inlineStr">
        <is>
          <t>verify/run.mjs · re-check: node verify/run.mjs --only WC-121 · findings/findings-log.md -&gt; WC-121</t>
        </is>
      </c>
      <c r="L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M49" s="7" t="inlineStr">
        <is>
          <t>Verified — observed against the live backend</t>
        </is>
      </c>
      <c r="N49" s="7" t="inlineStr"/>
      <c r="O49" s="9" t="inlineStr">
        <is>
          <t>Open</t>
        </is>
      </c>
      <c r="P49" s="9" t="inlineStr"/>
      <c r="Q49" s="9" t="inlineStr"/>
      <c r="R49" s="9" t="inlineStr">
        <is>
          <t>Open — re-checked 2026-09-25, still present</t>
        </is>
      </c>
      <c r="S49" s="9" t="inlineStr">
        <is>
          <t>Open — awaiting fix</t>
        </is>
      </c>
      <c r="T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Authorisation</t>
        </is>
      </c>
      <c r="F50" s="7" t="inlineStr">
        <is>
          <t>Phase 2 (security)</t>
        </is>
      </c>
      <c r="G50" s="7" t="inlineStr">
        <is>
          <t>Isolated stack (synthetic data)</t>
        </is>
      </c>
      <c r="H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I50" s="7" t="inlineStr">
        <is>
          <t>Only the fields the endpoint declares are written. Any other field in the payload is rejected.</t>
        </is>
      </c>
      <c r="J50" s="7" t="inlineStr">
        <is>
          <t>update_profile applies caller data to a User record, and its permission check is dead code.</t>
        </is>
      </c>
      <c r="K50" s="7" t="inlineStr">
        <is>
          <t>suite/probes/mass-assignment-probe.mjs · suite/probes/mass_assignment_scan.py · findings/findings-log.md -&gt; WC-123</t>
        </is>
      </c>
      <c r="L50" s="7" t="inlineStr">
        <is>
          <t>Add return after the 403. Restrict data to the profile fields this screen is meant to edit. Check the permission before applying the data rather than after.</t>
        </is>
      </c>
      <c r="M50" s="7" t="inlineStr">
        <is>
          <t>Verified — reproduced against the isolated stack</t>
        </is>
      </c>
      <c r="N50" s="7" t="inlineStr"/>
      <c r="O50" s="9" t="inlineStr">
        <is>
          <t>Open</t>
        </is>
      </c>
      <c r="P50" s="9" t="inlineStr"/>
      <c r="Q50" s="9" t="inlineStr"/>
      <c r="R50" s="9" t="inlineStr">
        <is>
          <t>Open</t>
        </is>
      </c>
      <c r="S50" s="9" t="inlineStr">
        <is>
          <t>Open — awaiting fix</t>
        </is>
      </c>
      <c r="T50" s="7" t="inlineStr"/>
    </row>
    <row r="51">
      <c r="A51" s="6" t="inlineStr">
        <is>
          <t>WC-005</t>
        </is>
      </c>
      <c r="B51" s="7" t="inlineStr">
        <is>
          <t>Forgot Password link is a dead anchor</t>
        </is>
      </c>
      <c r="C51" s="11" t="inlineStr">
        <is>
          <t>S3 Major</t>
        </is>
      </c>
      <c r="D51" s="7" t="inlineStr">
        <is>
          <t>P3</t>
        </is>
      </c>
      <c r="E51" s="7" t="inlineStr">
        <is>
          <t>Frontend</t>
        </is>
      </c>
      <c r="F51" s="7" t="inlineStr">
        <is>
          <t>Phase 1</t>
        </is>
      </c>
      <c r="G51" s="7" t="inlineStr">
        <is>
          <t>UAT / dev (read-only)</t>
        </is>
      </c>
      <c r="H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I51" s="7" t="inlineStr">
        <is>
          <t>The screen renders its content when the URL is opened directly, refreshed, or reached from a bookmark.</t>
        </is>
      </c>
      <c r="J51" s="7" t="inlineStr">
        <is>
          <t>"Forgot Password?" href="#" — no destination.</t>
        </is>
      </c>
      <c r="K51" s="7" t="inlineStr">
        <is>
          <t>findings/findings-log.md -&gt; WC-005</t>
        </is>
      </c>
      <c r="L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M51" s="7" t="inlineStr">
        <is>
          <t>Not recorded</t>
        </is>
      </c>
      <c r="N51" s="7" t="inlineStr"/>
      <c r="O51" s="9" t="inlineStr">
        <is>
          <t>Open</t>
        </is>
      </c>
      <c r="P51" s="9" t="inlineStr"/>
      <c r="Q51" s="9" t="inlineStr"/>
      <c r="R51" s="9" t="inlineStr">
        <is>
          <t>Open</t>
        </is>
      </c>
      <c r="S51" s="9" t="inlineStr">
        <is>
          <t>Open — awaiting fix</t>
        </is>
      </c>
      <c r="T51" s="7" t="inlineStr"/>
    </row>
    <row r="52">
      <c r="A52" s="6" t="inlineStr">
        <is>
          <t>WC-006</t>
        </is>
      </c>
      <c r="B52" s="7" t="inlineStr">
        <is>
          <t>Password field missing autocomplete attribute</t>
        </is>
      </c>
      <c r="C52" s="11" t="inlineStr">
        <is>
          <t>S3 Major</t>
        </is>
      </c>
      <c r="D52" s="7" t="inlineStr">
        <is>
          <t>P3</t>
        </is>
      </c>
      <c r="E52" s="7" t="inlineStr">
        <is>
          <t>Accessibility</t>
        </is>
      </c>
      <c r="F52" s="7" t="inlineStr">
        <is>
          <t>Phase 1</t>
        </is>
      </c>
      <c r="G52" s="7" t="inlineStr">
        <is>
          <t>UAT / dev (read-only)</t>
        </is>
      </c>
      <c r="H52" s="7" t="inlineStr">
        <is>
          <t>1. Load the password input on /authentication/login as an authenticated staff account.
2. Run axe-core against the page (or any WCAG 2.1 AA checker).
3. Read the violations for the element named in the Actual Result column.</t>
        </is>
      </c>
      <c r="I52" s="7" t="inlineStr">
        <is>
          <t>The element meets WCAG 2.1 AA.</t>
        </is>
      </c>
      <c r="J52" s="7" t="inlineStr">
        <is>
          <t>Chrome DOM warning; breaks password managers / a11y.</t>
        </is>
      </c>
      <c r="K52" s="7" t="inlineStr">
        <is>
          <t>the axe-core run across all 235 routes · findings/findings-log.md -&gt; WC-006</t>
        </is>
      </c>
      <c r="L52" s="7" t="inlineStr">
        <is>
          <t>add autocomplete="current-password" to the login password input (and autocomplete="username" to the identifier field). One attribute each; it restores password manager support and clears the browser console warning.</t>
        </is>
      </c>
      <c r="M52" s="7" t="inlineStr">
        <is>
          <t>Not recorded</t>
        </is>
      </c>
      <c r="N52" s="7" t="inlineStr"/>
      <c r="O52" s="9" t="inlineStr">
        <is>
          <t>Open</t>
        </is>
      </c>
      <c r="P52" s="9" t="inlineStr"/>
      <c r="Q52" s="9" t="inlineStr"/>
      <c r="R52" s="9" t="inlineStr">
        <is>
          <t>Open</t>
        </is>
      </c>
      <c r="S52" s="9" t="inlineStr">
        <is>
          <t>Open — awaiting fix</t>
        </is>
      </c>
      <c r="T52" s="7" t="inlineStr"/>
    </row>
    <row r="53">
      <c r="A53" s="6" t="inlineStr">
        <is>
          <t>WC-014</t>
        </is>
      </c>
      <c r="B53" s="7" t="inlineStr">
        <is>
          <t>OC (Outreach Coordinator) account returns empty role_profile</t>
        </is>
      </c>
      <c r="C53" s="11" t="inlineStr">
        <is>
          <t>S3 Major</t>
        </is>
      </c>
      <c r="D53" s="7" t="inlineStr">
        <is>
          <t>P3</t>
        </is>
      </c>
      <c r="E53" s="7" t="inlineStr">
        <is>
          <t>API contract</t>
        </is>
      </c>
      <c r="F53" s="7" t="inlineStr">
        <is>
          <t>Phase 1</t>
        </is>
      </c>
      <c r="G53" s="7" t="inlineStr">
        <is>
          <t>UAT / dev (read-only)</t>
        </is>
      </c>
      <c r="H53" s="7" t="inlineStr">
        <is>
          <t>1. Sign in as an authenticated staff account.
2. Call authentication.api.auth.login in a way that must fail (an invalid identifier, a missing field).
3. Compare the HTTP status against the body's own success flag.</t>
        </is>
      </c>
      <c r="I53" s="7" t="inlineStr">
        <is>
          <t>The HTTP status matches the outcome: a failure returns 4xx/5xx, never 200, and the response shape is consistent.</t>
        </is>
      </c>
      <c r="J53" s="7" t="inlineStr">
        <is>
          <t>authentication.api.auth.login returns HTTP 200 but role_profile: "" for the OC account, while all other personas return a populated profile.</t>
        </is>
      </c>
      <c r="K53" s="7" t="inlineStr">
        <is>
          <t>evidence/validation-probe-results.json · evidence/write-surface-classified.json · findings/findings-log.md -&gt; WC-014</t>
        </is>
      </c>
      <c r="L53" s="7" t="inlineStr">
        <is>
          <t>assign the Outreach Coordinator role profile to the account, and make the login endpoint refuse — or at minimum log. An authenticated user with no role profile, rather than returning an empty string that callers must interpret.</t>
        </is>
      </c>
      <c r="M53" s="7" t="inlineStr">
        <is>
          <t>Verified</t>
        </is>
      </c>
      <c r="N53" s="7" t="inlineStr">
        <is>
          <t>2026-09-20</t>
        </is>
      </c>
      <c r="O53" s="9" t="inlineStr">
        <is>
          <t>Open</t>
        </is>
      </c>
      <c r="P53" s="9" t="inlineStr"/>
      <c r="Q53" s="9" t="inlineStr"/>
      <c r="R53" s="9" t="inlineStr">
        <is>
          <t>Open</t>
        </is>
      </c>
      <c r="S53" s="9" t="inlineStr">
        <is>
          <t>Open — awaiting fix</t>
        </is>
      </c>
      <c r="T53" s="7" t="inlineStr"/>
    </row>
    <row r="54">
      <c r="A54" s="6" t="inlineStr">
        <is>
          <t>WC-019</t>
        </is>
      </c>
      <c r="B54" s="7" t="inlineStr">
        <is>
          <t>SP /approvals data API returns 404</t>
        </is>
      </c>
      <c r="C54" s="11" t="inlineStr">
        <is>
          <t>S3 Major</t>
        </is>
      </c>
      <c r="D54" s="7" t="inlineStr">
        <is>
          <t>P3</t>
        </is>
      </c>
      <c r="E54" s="7" t="inlineStr">
        <is>
          <t>API contract</t>
        </is>
      </c>
      <c r="F54" s="7" t="inlineStr">
        <is>
          <t>Phase 1</t>
        </is>
      </c>
      <c r="G54" s="7" t="inlineStr">
        <is>
          <t>UAT / dev (read-only)</t>
        </is>
      </c>
      <c r="H54" s="7" t="inlineStr">
        <is>
          <t>1. Sign in as Skilling Partner and open /sp/approvals with the browser network tab open.
2. Find the failing request in the network log.
3. Note its URL and status code.</t>
        </is>
      </c>
      <c r="I54" s="7" t="inlineStr">
        <is>
          <t>The endpoint the screen calls exists on the deployed build and returns its data.</t>
        </is>
      </c>
      <c r="J54" s="7" t="inlineStr">
        <is>
          <t>SP /approvals data API returns 404.</t>
        </is>
      </c>
      <c r="K54" s="7" t="inlineStr">
        <is>
          <t>evidence/write-surface-classified.json · findings/findings-log.md -&gt; WC-019</t>
        </is>
      </c>
      <c r="L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M54" s="7" t="inlineStr">
        <is>
          <t>Verified</t>
        </is>
      </c>
      <c r="N54" s="7" t="inlineStr">
        <is>
          <t>2026-09-18</t>
        </is>
      </c>
      <c r="O54" s="9" t="inlineStr">
        <is>
          <t>Open</t>
        </is>
      </c>
      <c r="P54" s="9" t="inlineStr"/>
      <c r="Q54" s="9" t="inlineStr"/>
      <c r="R54" s="9" t="inlineStr">
        <is>
          <t>Open</t>
        </is>
      </c>
      <c r="S54" s="9" t="inlineStr">
        <is>
          <t>Open — awaiting fix</t>
        </is>
      </c>
      <c r="T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Data protection</t>
        </is>
      </c>
      <c r="F55" s="7" t="inlineStr">
        <is>
          <t>Phase 1</t>
        </is>
      </c>
      <c r="G55" s="7" t="inlineStr">
        <is>
          <t>UAT / dev (read-only)</t>
        </is>
      </c>
      <c r="H55" s="7" t="inlineStr">
        <is>
          <t>1. Sign in as an authenticated staff account and note the permitted_centres in the login response.
2. Call the per-persona endpoint set recorded in evidence/authz-audit.json.
3. Compare the centre on every returned record against that permitted list.</t>
        </is>
      </c>
      <c r="I55" s="7" t="inlineStr">
        <is>
          <t>Only data the account is permitted to see is returned, and lower environments hold no real programme data.</t>
        </is>
      </c>
      <c r="J55" s="7" t="inlineStr">
        <is>
          <t>each persona was offered the 67 endpoints exclusive to other personas. Share refused (401/403):; Caller; Read OK; Refused; Refusal rate; OC; 48; 0; 0%; CH; 36; 3; 8%; FC; 45; 7; 13%; SYC; 45; 9; 16%; SM; 33; 11; 24%; SP; 33; 14; 29%.</t>
        </is>
      </c>
      <c r="K55" s="7" t="inlineStr">
        <is>
          <t>evidence/data-shape.json · evidence/gate-probe-results.json · findings/findings-log.md -&gt; WC-024</t>
        </is>
      </c>
      <c r="L55" s="7" t="inlineStr">
        <is>
          <t>See register.</t>
        </is>
      </c>
      <c r="M55" s="7" t="inlineStr">
        <is>
          <t>Verified</t>
        </is>
      </c>
      <c r="N55" s="7" t="inlineStr"/>
      <c r="O55" s="9" t="inlineStr">
        <is>
          <t>Open</t>
        </is>
      </c>
      <c r="P55" s="9" t="inlineStr"/>
      <c r="Q55" s="9" t="inlineStr"/>
      <c r="R55" s="9" t="inlineStr">
        <is>
          <t>Open</t>
        </is>
      </c>
      <c r="S55" s="9" t="inlineStr">
        <is>
          <t>Open — awaiting fix</t>
        </is>
      </c>
      <c r="T55" s="7" t="inlineStr"/>
    </row>
    <row r="56">
      <c r="A56" s="6" t="inlineStr">
        <is>
          <t>WC-028</t>
        </is>
      </c>
      <c r="B56" s="7" t="inlineStr">
        <is>
          <t>Colour contrast below WCAG AA on 13 routes</t>
        </is>
      </c>
      <c r="C56" s="11" t="inlineStr">
        <is>
          <t>S3 Major</t>
        </is>
      </c>
      <c r="D56" s="7" t="inlineStr">
        <is>
          <t>P3</t>
        </is>
      </c>
      <c r="E56" s="7" t="inlineStr">
        <is>
          <t>Accessibility</t>
        </is>
      </c>
      <c r="F56" s="7" t="inlineStr">
        <is>
          <t>Phase 1</t>
        </is>
      </c>
      <c r="G56" s="7" t="inlineStr">
        <is>
          <t>UAT / dev (read-only)</t>
        </is>
      </c>
      <c r="H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I56" s="7" t="inlineStr">
        <is>
          <t>The element meets WCAG 2.1 AA.</t>
        </is>
      </c>
      <c r="J56" s="7" t="inlineStr">
        <is>
          <t>color-contrast, serious, 13 routes, 43 elements.</t>
        </is>
      </c>
      <c r="K56" s="7" t="inlineStr">
        <is>
          <t>the axe-core run across all 235 routes · findings/findings-log.md -&gt; WC-028</t>
        </is>
      </c>
      <c r="L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M56" s="7" t="inlineStr">
        <is>
          <t>Verified</t>
        </is>
      </c>
      <c r="N56" s="7" t="inlineStr"/>
      <c r="O56" s="9" t="inlineStr">
        <is>
          <t>Open</t>
        </is>
      </c>
      <c r="P56" s="9" t="inlineStr"/>
      <c r="Q56" s="9" t="inlineStr"/>
      <c r="R56" s="9" t="inlineStr">
        <is>
          <t>Open</t>
        </is>
      </c>
      <c r="S56" s="9" t="inlineStr">
        <is>
          <t>Open — awaiting fix</t>
        </is>
      </c>
      <c r="T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Error handling</t>
        </is>
      </c>
      <c r="F57" s="7" t="inlineStr">
        <is>
          <t>Phase 1</t>
        </is>
      </c>
      <c r="G57" s="7" t="inlineStr">
        <is>
          <t>UAT / dev (read-only)</t>
        </is>
      </c>
      <c r="H57" s="7" t="inlineStr">
        <is>
          <t>1. Sign in as an authenticated staff account.
2. Call authentication.api.auth.login omitting a required argument, or with an argument of the wrong type.
3. Read the HTTP status and the response body.</t>
        </is>
      </c>
      <c r="I57" s="7" t="inlineStr">
        <is>
          <t>A 4xx response with a message the caller can act on. No stack trace and no HTTP 500.</t>
        </is>
      </c>
      <c r="J57" s="7" t="inlineStr">
        <is>
          <t>Account; permitted_courses; FC; array(3); SP; array(2); SM; array(11); CH; "NA" (string); SYC; "NA" (string); OC; "NA" (string)</t>
        </is>
      </c>
      <c r="K57" s="7" t="inlineStr">
        <is>
          <t>evidence/validation-probe-results.json · suite/probes/validation-probe.mjs · findings/findings-log.md -&gt; WC-030</t>
        </is>
      </c>
      <c r="L57" s="7" t="inlineStr">
        <is>
          <t>return [] rather than the sentinel string "NA". A field's type should not depend on its value. permitted_centres is correctly an array for every account and is the reference.</t>
        </is>
      </c>
      <c r="M57" s="7" t="inlineStr">
        <is>
          <t>Verified</t>
        </is>
      </c>
      <c r="N57" s="7" t="inlineStr"/>
      <c r="O57" s="9" t="inlineStr">
        <is>
          <t>Open</t>
        </is>
      </c>
      <c r="P57" s="9" t="inlineStr"/>
      <c r="Q57" s="9" t="inlineStr"/>
      <c r="R57" s="9" t="inlineStr">
        <is>
          <t>Open</t>
        </is>
      </c>
      <c r="S57" s="9" t="inlineStr">
        <is>
          <t>Open — awaiting fix</t>
        </is>
      </c>
      <c r="T57" s="7" t="inlineStr"/>
    </row>
    <row r="58">
      <c r="A58" s="6" t="inlineStr">
        <is>
          <t>WC-031</t>
        </is>
      </c>
      <c r="B58" s="7" t="inlineStr">
        <is>
          <t>Logging in silently terminates the previous session</t>
        </is>
      </c>
      <c r="C58" s="11" t="inlineStr">
        <is>
          <t>S3 Major</t>
        </is>
      </c>
      <c r="D58" s="7" t="inlineStr">
        <is>
          <t>P3</t>
        </is>
      </c>
      <c r="E58" s="7" t="inlineStr">
        <is>
          <t>Authentication / session</t>
        </is>
      </c>
      <c r="F58" s="7" t="inlineStr">
        <is>
          <t>Phase 1</t>
        </is>
      </c>
      <c r="G58" s="7" t="inlineStr">
        <is>
          <t>UAT / dev (read-only)</t>
        </is>
      </c>
      <c r="H58" s="7" t="inlineStr">
        <is>
          <t>1. Sign in as the same account in one browser.
2. Sign in again as that account in a second browser.
3. Return to the first browser and issue any authenticated request.</t>
        </is>
      </c>
      <c r="I58" s="7" t="inlineStr">
        <is>
          <t>Session behaviour is deliberate and the user is told when a session ends.</t>
        </is>
      </c>
      <c r="J58" s="7" t="inlineStr">
        <is>
          <t>two consecutive logins for the same account. api_key is stable; api_secret is regenerated on each login, and the first secret immediately returns 401.</t>
        </is>
      </c>
      <c r="K58" s="7" t="inlineStr">
        <is>
          <t>findings/findings-log.md -&gt; WC-031</t>
        </is>
      </c>
      <c r="L58" s="7" t="inlineStr">
        <is>
          <t>See register.</t>
        </is>
      </c>
      <c r="M58" s="7" t="inlineStr">
        <is>
          <t>Verified</t>
        </is>
      </c>
      <c r="N58" s="7" t="inlineStr"/>
      <c r="O58" s="9" t="inlineStr">
        <is>
          <t>Open</t>
        </is>
      </c>
      <c r="P58" s="9" t="inlineStr"/>
      <c r="Q58" s="9" t="inlineStr"/>
      <c r="R58" s="9" t="inlineStr">
        <is>
          <t>Open</t>
        </is>
      </c>
      <c r="S58" s="9" t="inlineStr">
        <is>
          <t>Open — awaiting fix</t>
        </is>
      </c>
      <c r="T58" s="7" t="inlineStr"/>
    </row>
    <row r="59">
      <c r="A59" s="6" t="inlineStr">
        <is>
          <t>WC-055</t>
        </is>
      </c>
      <c r="B59" s="7" t="inlineStr">
        <is>
          <t>The deployable platform is undocumented and larger than the handover</t>
        </is>
      </c>
      <c r="C59" s="11" t="inlineStr">
        <is>
          <t>S3 Major</t>
        </is>
      </c>
      <c r="D59" s="7" t="inlineStr">
        <is>
          <t>P3</t>
        </is>
      </c>
      <c r="E59" s="7" t="inlineStr">
        <is>
          <t>Handover / configuration</t>
        </is>
      </c>
      <c r="F59" s="7" t="inlineStr">
        <is>
          <t>Phase 2</t>
        </is>
      </c>
      <c r="G59" s="7" t="inlineStr">
        <is>
          <t>Isolated stack (synthetic data)</t>
        </is>
      </c>
      <c r="H59" s="7" t="inlineStr">
        <is>
          <t>Inspection, not a runtime reproduction.
1. Open frappe.db.get_value("Employee", {"user_id": user}).
2. Confirm what the Actual Result column describes is present (or absent).
3. Full reasoning is in findings/findings-log.md under WC-055.</t>
        </is>
      </c>
      <c r="I59" s="7" t="inlineStr">
        <is>
          <t>Everything needed to build and run the platform is present in the repositories the foundation owns.</t>
        </is>
      </c>
      <c r="J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K59" s="7" t="inlineStr">
        <is>
          <t>evidence/doctype-schemas.json · suite/probes/compare-environments.mjs · findings/findings-log.md -&gt; WC-055</t>
        </is>
      </c>
      <c r="L59" s="7" t="inlineStr">
        <is>
          <t>declare required_apps in authentication/hooks.py, and record the deployable set in a README. Both are small; the absence of both is what turns a dependency into a trap.</t>
        </is>
      </c>
      <c r="M59" s="7" t="inlineStr">
        <is>
          <t>Verified</t>
        </is>
      </c>
      <c r="N59" s="7" t="inlineStr"/>
      <c r="O59" s="9" t="inlineStr">
        <is>
          <t>Open</t>
        </is>
      </c>
      <c r="P59" s="9" t="inlineStr"/>
      <c r="Q59" s="9" t="inlineStr"/>
      <c r="R59" s="9" t="inlineStr">
        <is>
          <t>Open</t>
        </is>
      </c>
      <c r="S59" s="9" t="inlineStr">
        <is>
          <t>Open — awaiting fix</t>
        </is>
      </c>
      <c r="T59" s="7" t="inlineStr"/>
    </row>
    <row r="60">
      <c r="A60" s="6" t="inlineStr">
        <is>
          <t>WC-059</t>
        </is>
      </c>
      <c r="B60" s="7" t="inlineStr">
        <is>
          <t>Orphaned module records remain for three uninstalled applications</t>
        </is>
      </c>
      <c r="C60" s="11" t="inlineStr">
        <is>
          <t>S3 Major</t>
        </is>
      </c>
      <c r="D60" s="7" t="inlineStr">
        <is>
          <t>P3</t>
        </is>
      </c>
      <c r="E60" s="7" t="inlineStr">
        <is>
          <t>Handover / configuration</t>
        </is>
      </c>
      <c r="F60" s="7" t="inlineStr">
        <is>
          <t>Phase 2</t>
        </is>
      </c>
      <c r="G60" s="7" t="inlineStr">
        <is>
          <t>UAT / dev (read-only)</t>
        </is>
      </c>
      <c r="H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I60" s="7" t="inlineStr">
        <is>
          <t>Everything needed to build and run the platform is present in the repositories the foundation owns.</t>
        </is>
      </c>
      <c r="J60" s="7" t="inlineStr">
        <is>
          <t>Module Def holds records attributed to three applications that get_versions does not list as installed:; Application; Orphaned modules; hrms; HR, Payroll; mannlowe_support; Mannlowe Support; materialized_view_builder; Materialized View Builder.</t>
        </is>
      </c>
      <c r="K60" s="7" t="inlineStr">
        <is>
          <t>evidence/doctype-schemas.json · suite/probes/compare-environments.mjs · findings/findings-log.md -&gt; WC-059</t>
        </is>
      </c>
      <c r="L60" s="7" t="inlineStr">
        <is>
          <t>remove the orphaned Module Def records, or reinstall-and-uninstall cleanly.</t>
        </is>
      </c>
      <c r="M60" s="7" t="inlineStr">
        <is>
          <t>Verified</t>
        </is>
      </c>
      <c r="N60" s="7" t="inlineStr"/>
      <c r="O60" s="9" t="inlineStr">
        <is>
          <t>Open</t>
        </is>
      </c>
      <c r="P60" s="9" t="inlineStr"/>
      <c r="Q60" s="9" t="inlineStr"/>
      <c r="R60" s="9" t="inlineStr">
        <is>
          <t>Open</t>
        </is>
      </c>
      <c r="S60" s="9" t="inlineStr">
        <is>
          <t>Open — awaiting fix</t>
        </is>
      </c>
      <c r="T60" s="7" t="inlineStr"/>
    </row>
    <row r="61">
      <c r="A61" s="6" t="inlineStr">
        <is>
          <t>WC-062</t>
        </is>
      </c>
      <c r="B61" s="7" t="inlineStr">
        <is>
          <t>Three doctypes are defined twice, by two different applications</t>
        </is>
      </c>
      <c r="C61" s="11" t="inlineStr">
        <is>
          <t>S3 Major</t>
        </is>
      </c>
      <c r="D61" s="7" t="inlineStr">
        <is>
          <t>P3</t>
        </is>
      </c>
      <c r="E61" s="7" t="inlineStr">
        <is>
          <t>Handover / configuration</t>
        </is>
      </c>
      <c r="F61" s="7" t="inlineStr">
        <is>
          <t>Phase 2</t>
        </is>
      </c>
      <c r="G61" s="7" t="inlineStr">
        <is>
          <t>Isolated stack (synthetic data)</t>
        </is>
      </c>
      <c r="H61" s="7" t="inlineStr">
        <is>
          <t>Inspection, not a runtime reproduction.
1. Open the three doctypes the register names as defined by two applications each.
2. Confirm what the Actual Result column describes is present (or absent).
3. Full reasoning is in findings/findings-log.md under WC-062.</t>
        </is>
      </c>
      <c r="I61" s="7" t="inlineStr">
        <is>
          <t>Everything needed to build and run the platform is present in the repositories the foundation owns.</t>
        </is>
      </c>
      <c r="J61"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K61" s="7" t="inlineStr">
        <is>
          <t>evidence/doctype-schemas.json · suite/probes/compare-environments.mjs · findings/findings-log.md -&gt; WC-062</t>
        </is>
      </c>
      <c r="L61" s="7" t="inlineStr">
        <is>
          <t>one application owns each doctype; the other declares a dependency on it, or the names are made distinct.</t>
        </is>
      </c>
      <c r="M61" s="7" t="inlineStr">
        <is>
          <t>Verified</t>
        </is>
      </c>
      <c r="N61" s="7" t="inlineStr">
        <is>
          <t>2026-09-20</t>
        </is>
      </c>
      <c r="O61" s="9" t="inlineStr">
        <is>
          <t>Open</t>
        </is>
      </c>
      <c r="P61" s="9" t="inlineStr"/>
      <c r="Q61" s="9" t="inlineStr"/>
      <c r="R61" s="9" t="inlineStr">
        <is>
          <t>Open</t>
        </is>
      </c>
      <c r="S61" s="9" t="inlineStr">
        <is>
          <t>Open — awaiting fix</t>
        </is>
      </c>
      <c r="T61" s="7" t="inlineStr"/>
    </row>
    <row r="62">
      <c r="A62" s="6" t="inlineStr">
        <is>
          <t>WC-071</t>
        </is>
      </c>
      <c r="B62" s="7" t="inlineStr">
        <is>
          <t>Two independent centre-scoping mechanisms exist, and they can disagree</t>
        </is>
      </c>
      <c r="C62" s="11" t="inlineStr">
        <is>
          <t>S3 Major</t>
        </is>
      </c>
      <c r="D62" s="7" t="inlineStr">
        <is>
          <t>P3</t>
        </is>
      </c>
      <c r="E62" s="7" t="inlineStr">
        <is>
          <t>Authorisation</t>
        </is>
      </c>
      <c r="F62" s="7" t="inlineStr">
        <is>
          <t>Phase 2</t>
        </is>
      </c>
      <c r="G62" s="7" t="inlineStr">
        <is>
          <t>Source review</t>
        </is>
      </c>
      <c r="H62" s="7" t="inlineStr">
        <is>
          <t>1. Sign in as an authenticated staff account — any authenticated account is enough.
2. Call authentication.api.auth.login with no special privileges.
3. Observe that the call is accepted rather than refused, and check whether anything changed.</t>
        </is>
      </c>
      <c r="I62" s="7" t="inlineStr">
        <is>
          <t>One centre-scoping mechanism is authoritative, and every path derives scope from it.</t>
        </is>
      </c>
      <c r="J62"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K62" s="7" t="inlineStr">
        <is>
          <t>evidence/authz-audit.json · findings/findings-log.md -&gt; WC-071</t>
        </is>
      </c>
      <c r="L62" s="7" t="inlineStr">
        <is>
          <t>derive one from the other, or have write paths consult permitted_centres as read paths do.</t>
        </is>
      </c>
      <c r="M62" s="7" t="inlineStr">
        <is>
          <t>Verified</t>
        </is>
      </c>
      <c r="N62" s="7" t="inlineStr"/>
      <c r="O62" s="9" t="inlineStr">
        <is>
          <t>Open</t>
        </is>
      </c>
      <c r="P62" s="9" t="inlineStr"/>
      <c r="Q62" s="9" t="inlineStr"/>
      <c r="R62" s="9" t="inlineStr">
        <is>
          <t>Open</t>
        </is>
      </c>
      <c r="S62" s="9" t="inlineStr">
        <is>
          <t>Open — awaiting fix</t>
        </is>
      </c>
      <c r="T62" s="7" t="inlineStr"/>
    </row>
    <row r="63">
      <c r="A63" s="6" t="inlineStr">
        <is>
          <t>WC-072</t>
        </is>
      </c>
      <c r="B63" s="7" t="inlineStr">
        <is>
          <t>A custom field makes ERPNext's Company creation fail</t>
        </is>
      </c>
      <c r="C63" s="11" t="inlineStr">
        <is>
          <t>S3 Major</t>
        </is>
      </c>
      <c r="D63" s="7" t="inlineStr">
        <is>
          <t>P3</t>
        </is>
      </c>
      <c r="E63" s="7" t="inlineStr">
        <is>
          <t>Error handling</t>
        </is>
      </c>
      <c r="F63" s="7" t="inlineStr">
        <is>
          <t>Phase 2</t>
        </is>
      </c>
      <c r="G63" s="7" t="inlineStr">
        <is>
          <t>UAT / dev (read-only)</t>
        </is>
      </c>
      <c r="H63" s="7" t="inlineStr">
        <is>
          <t>1. Sign in as an authenticated staff account.
2. Call weconnect-backend-batch-management, batch_management/fixtures/custom_field.json — adds custom_abbr ("ABBR") to Cost Center as fieldtype: Data, reqd: 1, with no default omitting a required argument, or with an argument of the wrong type.
3. Read the HTTP status and the response body.</t>
        </is>
      </c>
      <c r="I63" s="7" t="inlineStr">
        <is>
          <t>A 4xx response with a message the caller can act on. No stack trace and no HTTP 500.</t>
        </is>
      </c>
      <c r="J63" s="7" t="inlineStr">
        <is>
          <t>A custom field makes ERPNext's Company creation fail.</t>
        </is>
      </c>
      <c r="K63" s="7" t="inlineStr">
        <is>
          <t>evidence/validation-probe-results.json · suite/probes/validation-probe.mjs · findings/findings-log.md -&gt; WC-072</t>
        </is>
      </c>
      <c r="L63" s="7" t="inlineStr">
        <is>
          <t>give custom_abbr a default, or make it non-mandatory and validate it only where the application actually requires it.</t>
        </is>
      </c>
      <c r="M63" s="7" t="inlineStr">
        <is>
          <t>Verified</t>
        </is>
      </c>
      <c r="N63" s="7" t="inlineStr"/>
      <c r="O63" s="9" t="inlineStr">
        <is>
          <t>Open</t>
        </is>
      </c>
      <c r="P63" s="9" t="inlineStr"/>
      <c r="Q63" s="9" t="inlineStr"/>
      <c r="R63" s="9" t="inlineStr">
        <is>
          <t>Open</t>
        </is>
      </c>
      <c r="S63" s="9" t="inlineStr">
        <is>
          <t>Open — awaiting fix</t>
        </is>
      </c>
      <c r="T63" s="7" t="inlineStr"/>
    </row>
    <row r="64">
      <c r="A64" s="6" t="inlineStr">
        <is>
          <t>WC-074</t>
        </is>
      </c>
      <c r="B64" s="7" t="inlineStr">
        <is>
          <t>Write failures return HTTP 200, and the success flag is named inconsistently</t>
        </is>
      </c>
      <c r="C64" s="11" t="inlineStr">
        <is>
          <t>S3 Major</t>
        </is>
      </c>
      <c r="D64" s="7" t="inlineStr">
        <is>
          <t>P3</t>
        </is>
      </c>
      <c r="E64" s="7" t="inlineStr">
        <is>
          <t>API contract</t>
        </is>
      </c>
      <c r="F64" s="7" t="inlineStr">
        <is>
          <t>Phase 2</t>
        </is>
      </c>
      <c r="G64" s="7" t="inlineStr">
        <is>
          <t>Isolated stack (synthetic data)</t>
        </is>
      </c>
      <c r="H64" s="7" t="inlineStr">
        <is>
          <t>1. Sign in as an authenticated staff account.
2. Call outreach.apis.task.task.create_task in a way that must fail (an invalid identifier, a missing field).
3. Compare the HTTP status against the body's own success flag.</t>
        </is>
      </c>
      <c r="I64" s="7" t="inlineStr">
        <is>
          <t>The HTTP status matches the outcome: a failure returns 4xx/5xx, never 200, and the response shape is consistent.</t>
        </is>
      </c>
      <c r="J64"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K64" s="7" t="inlineStr">
        <is>
          <t>evidence/validation-probe-results.json · evidence/write-surface-classified.json · findings/findings-log.md -&gt; WC-074</t>
        </is>
      </c>
      <c r="L64" s="7" t="inlineStr">
        <is>
          <t>return 4xx for a rejected write, and use one flag name, in one case, across the API.</t>
        </is>
      </c>
      <c r="M64" s="7" t="inlineStr">
        <is>
          <t>Verified</t>
        </is>
      </c>
      <c r="N64" s="7" t="inlineStr">
        <is>
          <t>2026-09-19</t>
        </is>
      </c>
      <c r="O64" s="9" t="inlineStr">
        <is>
          <t>Open</t>
        </is>
      </c>
      <c r="P64" s="9" t="inlineStr"/>
      <c r="Q64" s="9" t="inlineStr"/>
      <c r="R64" s="9" t="inlineStr">
        <is>
          <t>Open</t>
        </is>
      </c>
      <c r="S64" s="9" t="inlineStr">
        <is>
          <t>Open — awaiting fix</t>
        </is>
      </c>
      <c r="T64" s="7" t="inlineStr"/>
    </row>
    <row r="65">
      <c r="A65" s="6" t="inlineStr">
        <is>
          <t>WC-076</t>
        </is>
      </c>
      <c r="B65" s="7" t="inlineStr">
        <is>
          <t>update_task returns a 500 and a traceback when any field is omitted</t>
        </is>
      </c>
      <c r="C65" s="11" t="inlineStr">
        <is>
          <t>S3 Major</t>
        </is>
      </c>
      <c r="D65" s="7" t="inlineStr">
        <is>
          <t>P3</t>
        </is>
      </c>
      <c r="E65" s="7" t="inlineStr">
        <is>
          <t>Error handling</t>
        </is>
      </c>
      <c r="F65" s="7" t="inlineStr">
        <is>
          <t>Phase 2</t>
        </is>
      </c>
      <c r="G65" s="7" t="inlineStr">
        <is>
          <t>UAT / dev (read-only)</t>
        </is>
      </c>
      <c r="H65" s="7" t="inlineStr">
        <is>
          <t>1. Sign in as an authenticated staff account.
2. Call outreach/apis/task/task.py, update_task omitting a required argument, or with an argument of the wrong type.
3. Read the HTTP status and the response body.</t>
        </is>
      </c>
      <c r="I65" s="7" t="inlineStr">
        <is>
          <t>A 4xx response with a message the caller can act on. No stack trace and no HTTP 500.</t>
        </is>
      </c>
      <c r="J65" s="7" t="inlineStr">
        <is>
          <t>the handler reads five payload keys by direct subscript rather than .get(): subject, description, assign_to, priority, exp_end_date. Omitting any one raises KeyError, which the framework returns as HTTP 500 with a Python traceback — not a validation message.</t>
        </is>
      </c>
      <c r="K65" s="7" t="inlineStr">
        <is>
          <t>evidence/validation-probe-results.json · suite/probes/validation-probe.mjs · findings/findings-log.md -&gt; WC-076</t>
        </is>
      </c>
      <c r="L65" s="7" t="inlineStr">
        <is>
          <t>data.get(key) throughout, and return a 400 with the missing field named.</t>
        </is>
      </c>
      <c r="M65" s="7" t="inlineStr">
        <is>
          <t>Verified</t>
        </is>
      </c>
      <c r="N65" s="7" t="inlineStr"/>
      <c r="O65" s="9" t="inlineStr">
        <is>
          <t>Open</t>
        </is>
      </c>
      <c r="P65" s="9" t="inlineStr"/>
      <c r="Q65" s="9" t="inlineStr"/>
      <c r="R65" s="9" t="inlineStr">
        <is>
          <t>Open</t>
        </is>
      </c>
      <c r="S65" s="9" t="inlineStr">
        <is>
          <t>Open — awaiting fix</t>
        </is>
      </c>
      <c r="T65" s="7" t="inlineStr"/>
    </row>
    <row r="66">
      <c r="A66" s="6" t="inlineStr">
        <is>
          <t>WC-089</t>
        </is>
      </c>
      <c r="B66" s="7" t="inlineStr">
        <is>
          <t>Multiple whitelisted endpoints return HTTP 500 on a missing argument</t>
        </is>
      </c>
      <c r="C66" s="11" t="inlineStr">
        <is>
          <t>S3 Major</t>
        </is>
      </c>
      <c r="D66" s="7" t="inlineStr">
        <is>
          <t>P3</t>
        </is>
      </c>
      <c r="E66" s="7" t="inlineStr">
        <is>
          <t>Error handling</t>
        </is>
      </c>
      <c r="F66" s="7" t="inlineStr">
        <is>
          <t>Phase 2</t>
        </is>
      </c>
      <c r="G66" s="7" t="inlineStr">
        <is>
          <t>UAT / dev (read-only)</t>
        </is>
      </c>
      <c r="H66" s="7" t="inlineStr">
        <is>
          <t>1. Sign in as an authenticated staff account.
2. Call outreach.apis.task.task.update_task omitting a required argument, or with an argument of the wrong type.
3. Read the HTTP status and the response body.</t>
        </is>
      </c>
      <c r="I66" s="7" t="inlineStr">
        <is>
          <t>A 4xx response with a message the caller can act on. No stack trace and no HTTP 500.</t>
        </is>
      </c>
      <c r="J66"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K66" s="7" t="inlineStr">
        <is>
          <t>evidence/validation-probe-results.json · suite/probes/validation-probe.mjs · findings/findings-log.md -&gt; WC-089</t>
        </is>
      </c>
      <c r="L66" s="7" t="inlineStr">
        <is>
          <t>give optional parameters defaults and validate presence explicitly, returning 400 with the missing field named. This is idiomatic Frappe; the endpoints that get it right (e.g. create_task with .get()) show the pattern.</t>
        </is>
      </c>
      <c r="M66" s="7" t="inlineStr">
        <is>
          <t>Verified — runtime, pattern</t>
        </is>
      </c>
      <c r="N66" s="7" t="inlineStr"/>
      <c r="O66" s="9" t="inlineStr">
        <is>
          <t>Open</t>
        </is>
      </c>
      <c r="P66" s="9" t="inlineStr"/>
      <c r="Q66" s="9" t="inlineStr"/>
      <c r="R66" s="9" t="inlineStr">
        <is>
          <t>Open</t>
        </is>
      </c>
      <c r="S66" s="9" t="inlineStr">
        <is>
          <t>Open — awaiting fix</t>
        </is>
      </c>
      <c r="T66" s="7" t="inlineStr"/>
    </row>
    <row r="67">
      <c r="A67" s="6" t="inlineStr">
        <is>
          <t>WC-096</t>
        </is>
      </c>
      <c r="B67" s="7" t="inlineStr">
        <is>
          <t>Skilling Invoice validate() raises a SQL error on a missing column</t>
        </is>
      </c>
      <c r="C67" s="11" t="inlineStr">
        <is>
          <t>S3 Major</t>
        </is>
      </c>
      <c r="D67" s="7" t="inlineStr">
        <is>
          <t>P3</t>
        </is>
      </c>
      <c r="E67" s="7" t="inlineStr">
        <is>
          <t>Error handling</t>
        </is>
      </c>
      <c r="F67" s="7" t="inlineStr">
        <is>
          <t>Phase 2</t>
        </is>
      </c>
      <c r="G67" s="7" t="inlineStr">
        <is>
          <t>UAT / dev (read-only)</t>
        </is>
      </c>
      <c r="H67" s="7" t="inlineStr">
        <is>
          <t>1. Sign in as an authenticated staff account.
2. Call the Skilling Invoice doctype's validate() method omitting a required argument, or with an argument of the wrong type.
3. Read the HTTP status and the response body.</t>
        </is>
      </c>
      <c r="I67" s="7" t="inlineStr">
        <is>
          <t>A 4xx response with a message the caller can act on. No stack trace and no HTTP 500.</t>
        </is>
      </c>
      <c r="J67"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K67" s="7" t="inlineStr">
        <is>
          <t>evidence/validation-probe-results.json · suite/probes/validation-probe.mjs · findings/findings-log.md -&gt; WC-096</t>
        </is>
      </c>
      <c r="L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M67" s="7" t="inlineStr">
        <is>
          <t>Verified — corrects the earlier observation</t>
        </is>
      </c>
      <c r="N67" s="7" t="inlineStr"/>
      <c r="O67" s="9" t="inlineStr">
        <is>
          <t>Open</t>
        </is>
      </c>
      <c r="P67" s="9" t="inlineStr"/>
      <c r="Q67" s="9" t="inlineStr"/>
      <c r="R67" s="9" t="inlineStr">
        <is>
          <t>Open</t>
        </is>
      </c>
      <c r="S67" s="9" t="inlineStr">
        <is>
          <t>Open — awaiting fix</t>
        </is>
      </c>
      <c r="T67" s="7" t="inlineStr"/>
    </row>
    <row r="68">
      <c r="A68" s="6" t="inlineStr">
        <is>
          <t>WC-101</t>
        </is>
      </c>
      <c r="B68" s="7" t="inlineStr">
        <is>
          <t>add_remarks crashes with an unhandled ValueError on an empty sequence</t>
        </is>
      </c>
      <c r="C68" s="11" t="inlineStr">
        <is>
          <t>S3 Major</t>
        </is>
      </c>
      <c r="D68" s="7" t="inlineStr">
        <is>
          <t>P3</t>
        </is>
      </c>
      <c r="E68" s="7" t="inlineStr">
        <is>
          <t>Error handling</t>
        </is>
      </c>
      <c r="F68" s="7" t="inlineStr">
        <is>
          <t>Phase 2</t>
        </is>
      </c>
      <c r="G68" s="7" t="inlineStr">
        <is>
          <t>UAT / dev (read-only)</t>
        </is>
      </c>
      <c r="H68" s="7" t="inlineStr">
        <is>
          <t>1. Sign in as an authenticated staff account.
2. Call youth_skilling.api.actions.add_remarks omitting a required argument, or with an argument of the wrong type.
3. Read the HTTP status and the response body.</t>
        </is>
      </c>
      <c r="I68" s="7" t="inlineStr">
        <is>
          <t>A 4xx response with a message the caller can act on. No stack trace and no HTTP 500.</t>
        </is>
      </c>
      <c r="J68" s="7" t="inlineStr">
        <is>
          <t>calling it for a youth in the Standby stage returned HTTP 500 with ValueError: max() arg is an empty sequence — the code calls max() over a collection (likely the youth's screening or call records) without handling the empty case.</t>
        </is>
      </c>
      <c r="K68" s="7" t="inlineStr">
        <is>
          <t>evidence/validation-probe-results.json · suite/probes/validation-probe.mjs · findings/findings-log.md -&gt; WC-101</t>
        </is>
      </c>
      <c r="L68" s="7" t="inlineStr">
        <is>
          <t>guard the aggregation (max(seq, default=...) or an emptiness check).</t>
        </is>
      </c>
      <c r="M68" s="7" t="inlineStr">
        <is>
          <t>Verified — runtime</t>
        </is>
      </c>
      <c r="N68" s="7" t="inlineStr"/>
      <c r="O68" s="9" t="inlineStr">
        <is>
          <t>Open</t>
        </is>
      </c>
      <c r="P68" s="9" t="inlineStr"/>
      <c r="Q68" s="9" t="inlineStr"/>
      <c r="R68" s="9" t="inlineStr">
        <is>
          <t>Open</t>
        </is>
      </c>
      <c r="S68" s="9" t="inlineStr">
        <is>
          <t>Open — awaiting fix</t>
        </is>
      </c>
      <c r="T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API contract</t>
        </is>
      </c>
      <c r="F69" s="7" t="inlineStr">
        <is>
          <t>Phase 2</t>
        </is>
      </c>
      <c r="G69" s="7" t="inlineStr">
        <is>
          <t>UAT / dev (read-only)</t>
        </is>
      </c>
      <c r="H69" s="7" t="inlineStr">
        <is>
          <t>1. Sign in as an authenticated staff account.
2. Call youth_skilling.api.batch_management.mark_attendance in a way that must fail (an invalid identifier, a missing field).
3. Compare the HTTP status against the body's own success flag.</t>
        </is>
      </c>
      <c r="I69" s="7" t="inlineStr">
        <is>
          <t>The HTTP status matches the outcome: a failure returns 4xx/5xx, never 200, and the response shape is consistent.</t>
        </is>
      </c>
      <c r="J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K69" s="7" t="inlineStr">
        <is>
          <t>evidence/validation-probe-results.json · evidence/write-surface-classified.json · findings/findings-log.md -&gt; WC-104</t>
        </is>
      </c>
      <c r="L69" s="7" t="inlineStr">
        <is>
          <t>either create the attendance record on demand, or surface the specific reason in the top-level message. Document the precondition in the docstring either way.</t>
        </is>
      </c>
      <c r="M69" s="7" t="inlineStr">
        <is>
          <t>Verified — runtime</t>
        </is>
      </c>
      <c r="N69" s="7" t="inlineStr"/>
      <c r="O69" s="9" t="inlineStr">
        <is>
          <t>Open</t>
        </is>
      </c>
      <c r="P69" s="9" t="inlineStr"/>
      <c r="Q69" s="9" t="inlineStr"/>
      <c r="R69" s="9" t="inlineStr">
        <is>
          <t>Open</t>
        </is>
      </c>
      <c r="S69" s="9" t="inlineStr">
        <is>
          <t>Open — awaiting fix</t>
        </is>
      </c>
      <c r="T69" s="7" t="inlineStr"/>
    </row>
    <row r="70">
      <c r="A70" s="6" t="inlineStr">
        <is>
          <t>WC-108</t>
        </is>
      </c>
      <c r="B70" s="7" t="inlineStr">
        <is>
          <t>db_create.py assigns undefined identifiers as database connection settings</t>
        </is>
      </c>
      <c r="C70" s="11" t="inlineStr">
        <is>
          <t>S3 Major</t>
        </is>
      </c>
      <c r="D70" s="7" t="inlineStr">
        <is>
          <t>P3</t>
        </is>
      </c>
      <c r="E70" s="7" t="inlineStr">
        <is>
          <t>Handover / configuration</t>
        </is>
      </c>
      <c r="F70" s="7" t="inlineStr">
        <is>
          <t>Phase 2</t>
        </is>
      </c>
      <c r="G70" s="7" t="inlineStr">
        <is>
          <t>Source review</t>
        </is>
      </c>
      <c r="H70" s="7" t="inlineStr">
        <is>
          <t>Inspection, not a runtime reproduction.
1. Open Lighthouse-Communities-Foundation/data-pipeline-dashboard, db_create.py:4-8.
2. Confirm what the Actual Result column describes is present (or absent).
3. Full reasoning is in findings/findings-log.md under WC-108.</t>
        </is>
      </c>
      <c r="I70" s="7" t="inlineStr">
        <is>
          <t>Everything needed to build and run the platform is present in the repositories the foundation owns.</t>
        </is>
      </c>
      <c r="J70" s="7" t="inlineStr">
        <is>
          <t>DB_HOST = yor_host_name, DB_NAME = database_name, DB_USER = user_name, DB_PASSWORD = db_password — bare identifiers, not strings, so the module raises NameError on import. Note the typo yor_host_name.</t>
        </is>
      </c>
      <c r="K70" s="7" t="inlineStr">
        <is>
          <t>evidence/doctype-schemas.json · suite/probes/compare-environments.mjs · findings/findings-log.md -&gt; WC-108</t>
        </is>
      </c>
      <c r="L70" s="7" t="inlineStr">
        <is>
          <t>read these from the environment (os.environ), as the Google credentials already are, and remove the placeholders.</t>
        </is>
      </c>
      <c r="M70" s="7" t="inlineStr">
        <is>
          <t>Verified — source</t>
        </is>
      </c>
      <c r="N70" s="7" t="inlineStr"/>
      <c r="O70" s="9" t="inlineStr">
        <is>
          <t>Open</t>
        </is>
      </c>
      <c r="P70" s="9" t="inlineStr"/>
      <c r="Q70" s="9" t="inlineStr"/>
      <c r="R70" s="9" t="inlineStr">
        <is>
          <t>Open</t>
        </is>
      </c>
      <c r="S70" s="9" t="inlineStr">
        <is>
          <t>Open — awaiting fix</t>
        </is>
      </c>
      <c r="T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Authorisation</t>
        </is>
      </c>
      <c r="F71" s="7" t="inlineStr">
        <is>
          <t>Phase 2 (security)</t>
        </is>
      </c>
      <c r="G71" s="7" t="inlineStr">
        <is>
          <t>Isolated stack (synthetic data)</t>
        </is>
      </c>
      <c r="H71" s="7" t="inlineStr">
        <is>
          <t>1. Sign in as an authenticated staff account.
2. Call outreach.apis.pre_enquiry.form.update_form_data with the fields it documents PLUS one it never mentions.
3. Read the record back from the database and check whether the undeclared field was written.</t>
        </is>
      </c>
      <c r="I71" s="7" t="inlineStr">
        <is>
          <t>Only the fields the endpoint declares are written. Any other field in the payload is rejected.</t>
        </is>
      </c>
      <c r="J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K71" s="7" t="inlineStr">
        <is>
          <t>suite/probes/mass-assignment-probe.mjs · suite/probes/mass_assignment_scan.py · findings/findings-log.md -&gt; WC-114</t>
        </is>
      </c>
      <c r="L71" s="7" t="inlineStr">
        <is>
          <t>adopt the Pre Enquiry allowlist pattern across every endpoint that accepts a data payload, and add a test asserting that a system-controlled property such as owner or docstatus cannot be set through any of them.</t>
        </is>
      </c>
      <c r="M71" s="7" t="inlineStr">
        <is>
          <t>Verified — runtime, isolated instance</t>
        </is>
      </c>
      <c r="N71" s="7" t="inlineStr"/>
      <c r="O71" s="9" t="inlineStr">
        <is>
          <t>Open</t>
        </is>
      </c>
      <c r="P71" s="9" t="inlineStr"/>
      <c r="Q71" s="9" t="inlineStr"/>
      <c r="R71" s="9" t="inlineStr">
        <is>
          <t>Open</t>
        </is>
      </c>
      <c r="S71" s="9" t="inlineStr">
        <is>
          <t>Open — awaiting fix</t>
        </is>
      </c>
      <c r="T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Security configuration</t>
        </is>
      </c>
      <c r="F72" s="7" t="inlineStr">
        <is>
          <t>Phase 2 (security)</t>
        </is>
      </c>
      <c r="G72" s="7" t="inlineStr">
        <is>
          <t>Source review</t>
        </is>
      </c>
      <c r="H72" s="7" t="inlineStr">
        <is>
          <t>1. No sign-in needed for the header checks.
2. Issue the request described in the Actual Result column against the deployed host.
3. Inspect the response headers (or the cookie attributes) rather than the body.
4. Fastest route: node verify/run.mjs --only WC-117</t>
        </is>
      </c>
      <c r="I72" s="7" t="inlineStr">
        <is>
          <t>The protective setting is in place and the unsafe request is refused.</t>
        </is>
      </c>
      <c r="J72" s="7" t="inlineStr">
        <is>
          <t>after failed attempts against one account, a *different* account was refused from the same address on its first attempt.</t>
        </is>
      </c>
      <c r="K72" s="7" t="inlineStr">
        <is>
          <t>verify/run.mjs · findings/findings-log.md -&gt; WC-117</t>
        </is>
      </c>
      <c r="L72" s="7" t="inlineStr">
        <is>
          <t>return 429 with a Retry-After header rather than 500. Review whether the per-IP tracker is appropriate for a deployment where many legitimate users share an address, and if it is retained, set its threshold well above the per-account one.</t>
        </is>
      </c>
      <c r="M72" s="7" t="inlineStr">
        <is>
          <t>Verified — runtime</t>
        </is>
      </c>
      <c r="N72" s="7" t="inlineStr"/>
      <c r="O72" s="9" t="inlineStr">
        <is>
          <t>Open</t>
        </is>
      </c>
      <c r="P72" s="9" t="inlineStr"/>
      <c r="Q72" s="9" t="inlineStr"/>
      <c r="R72" s="9" t="inlineStr">
        <is>
          <t>Open</t>
        </is>
      </c>
      <c r="S72" s="9" t="inlineStr">
        <is>
          <t>Open — awaiting fix</t>
        </is>
      </c>
      <c r="T72" s="7" t="inlineStr"/>
    </row>
    <row r="73">
      <c r="A73" s="6" t="inlineStr">
        <is>
          <t>WC-007</t>
        </is>
      </c>
      <c r="B73" s="7" t="inlineStr">
        <is>
          <t>Source-tree asset path in built app</t>
        </is>
      </c>
      <c r="C73" s="12" t="inlineStr">
        <is>
          <t>S4 Minor</t>
        </is>
      </c>
      <c r="D73" s="7" t="inlineStr">
        <is>
          <t>P4</t>
        </is>
      </c>
      <c r="E73" s="7" t="inlineStr">
        <is>
          <t>Build hygiene</t>
        </is>
      </c>
      <c r="F73" s="7" t="inlineStr">
        <is>
          <t>Phase 1</t>
        </is>
      </c>
      <c r="G73" s="7" t="inlineStr">
        <is>
          <t>Source review</t>
        </is>
      </c>
      <c r="H73" s="7" t="inlineStr">
        <is>
          <t>Inspection, not a runtime reproduction.
1. Open the built bundle of any persona app — search it for source-tree asset paths.
2. Confirm what the Actual Result column describes is present (or absent).
3. Full reasoning is in findings/findings-log.md under WC-007.</t>
        </is>
      </c>
      <c r="I73" s="7" t="inlineStr">
        <is>
          <t>Build and release hygiene: no development artefacts, warnings or broken copy in a deployed application.</t>
        </is>
      </c>
      <c r="J73" s="7" t="inlineStr">
        <is>
          <t>login requests /src/assets/icons/logo_transparent.png (unbundled source path)</t>
        </is>
      </c>
      <c r="K73" s="7" t="inlineStr">
        <is>
          <t>findings/findings-log.md -&gt; WC-007</t>
        </is>
      </c>
      <c r="L73" s="7" t="inlineStr">
        <is>
          <t>import the asset so the bundler fingerprints and rewrites its path, rather than referencing /src/... literally. As shipped the path only resolves by accident of how the site is served, and will 404 under any stricter static configuration.</t>
        </is>
      </c>
      <c r="M73" s="7" t="inlineStr">
        <is>
          <t>Not recorded</t>
        </is>
      </c>
      <c r="N73" s="7" t="inlineStr"/>
      <c r="O73" s="9" t="inlineStr">
        <is>
          <t>Open</t>
        </is>
      </c>
      <c r="P73" s="9" t="inlineStr"/>
      <c r="Q73" s="9" t="inlineStr"/>
      <c r="R73" s="9" t="inlineStr">
        <is>
          <t>Open</t>
        </is>
      </c>
      <c r="S73" s="9" t="inlineStr">
        <is>
          <t>Open — awaiting fix</t>
        </is>
      </c>
      <c r="T73" s="7" t="inlineStr"/>
    </row>
    <row r="74">
      <c r="A74" s="6" t="inlineStr">
        <is>
          <t>WC-008</t>
        </is>
      </c>
      <c r="B74" s="7" t="inlineStr">
        <is>
          <t>Broken grammar in user-facing error</t>
        </is>
      </c>
      <c r="C74" s="12" t="inlineStr">
        <is>
          <t>S4 Minor</t>
        </is>
      </c>
      <c r="D74" s="7" t="inlineStr">
        <is>
          <t>P4</t>
        </is>
      </c>
      <c r="E74" s="7" t="inlineStr">
        <is>
          <t>Build hygiene</t>
        </is>
      </c>
      <c r="F74" s="7" t="inlineStr">
        <is>
          <t>Phase 1</t>
        </is>
      </c>
      <c r="G74" s="7" t="inlineStr">
        <is>
          <t>UAT / dev (read-only)</t>
        </is>
      </c>
      <c r="H74" s="7" t="inlineStr">
        <is>
          <t>Inspection, not a runtime reproduction.
1. Open the user-facing error string named in the Actual Result column.
2. Confirm what the Actual Result column describes is present (or absent).
3. Full reasoning is in findings/findings-log.md under WC-008.</t>
        </is>
      </c>
      <c r="I74" s="7" t="inlineStr">
        <is>
          <t>Build and release hygiene: no development artefacts, warnings or broken copy in a deployed application.</t>
        </is>
      </c>
      <c r="J74" s="7" t="inlineStr">
        <is>
          <t>"Failed to Target data." (FC dashboard target fetch failure)</t>
        </is>
      </c>
      <c r="K74" s="7" t="inlineStr">
        <is>
          <t>findings/findings-log.md -&gt; WC-008</t>
        </is>
      </c>
      <c r="L74" s="7" t="inlineStr">
        <is>
          <t>correct the string to a sentence — for example "Could not load target data." The same screen's underlying 404 is recorded separately; this item is only the wording.</t>
        </is>
      </c>
      <c r="M74" s="7" t="inlineStr">
        <is>
          <t>Not recorded</t>
        </is>
      </c>
      <c r="N74" s="7" t="inlineStr"/>
      <c r="O74" s="9" t="inlineStr">
        <is>
          <t>Open</t>
        </is>
      </c>
      <c r="P74" s="9" t="inlineStr"/>
      <c r="Q74" s="9" t="inlineStr"/>
      <c r="R74" s="9" t="inlineStr">
        <is>
          <t>Open</t>
        </is>
      </c>
      <c r="S74" s="9" t="inlineStr">
        <is>
          <t>Open — awaiting fix</t>
        </is>
      </c>
      <c r="T74" s="7" t="inlineStr"/>
    </row>
    <row r="75">
      <c r="A75" s="6" t="inlineStr">
        <is>
          <t>WC-009</t>
        </is>
      </c>
      <c r="B75" s="7" t="inlineStr">
        <is>
          <t>React Router v6 future-flag warnings</t>
        </is>
      </c>
      <c r="C75" s="12" t="inlineStr">
        <is>
          <t>S4 Minor</t>
        </is>
      </c>
      <c r="D75" s="7" t="inlineStr">
        <is>
          <t>P4</t>
        </is>
      </c>
      <c r="E75" s="7" t="inlineStr">
        <is>
          <t>Build hygiene</t>
        </is>
      </c>
      <c r="F75" s="7" t="inlineStr">
        <is>
          <t>Phase 1</t>
        </is>
      </c>
      <c r="G75" s="7" t="inlineStr">
        <is>
          <t>UAT / dev (read-only)</t>
        </is>
      </c>
      <c r="H75" s="7" t="inlineStr">
        <is>
          <t>Inspection, not a runtime reproduction.
1. Open the browser console on any route of any persona app.
2. Confirm what the Actual Result column describes is present (or absent).
3. Full reasoning is in findings/findings-log.md under WC-009.</t>
        </is>
      </c>
      <c r="I75" s="7" t="inlineStr">
        <is>
          <t>Build and release hygiene: no development artefacts, warnings or broken copy in a deployed application.</t>
        </is>
      </c>
      <c r="J75" s="7" t="inlineStr">
        <is>
          <t>console warnings, v7_startTransition / v7_relativeSplatPath. Tech-debt, not user-facing.</t>
        </is>
      </c>
      <c r="K75" s="7" t="inlineStr">
        <is>
          <t>findings/findings-log.md -&gt; WC-009</t>
        </is>
      </c>
      <c r="L75" s="7" t="inlineStr">
        <is>
          <t>opt in to the v7 behaviours now (v7_startTransition, v7_relativeSplatPath) so the eventual upgrade is a no-op, or pin the router version and record the decision. Console noise is the visible symptom; the real cost is that genuine warnings are lost among it.</t>
        </is>
      </c>
      <c r="M75" s="7" t="inlineStr">
        <is>
          <t>Not recorded</t>
        </is>
      </c>
      <c r="N75" s="7" t="inlineStr"/>
      <c r="O75" s="9" t="inlineStr">
        <is>
          <t>Open</t>
        </is>
      </c>
      <c r="P75" s="9" t="inlineStr"/>
      <c r="Q75" s="9" t="inlineStr"/>
      <c r="R75" s="9" t="inlineStr">
        <is>
          <t>Open</t>
        </is>
      </c>
      <c r="S75" s="9" t="inlineStr">
        <is>
          <t>Open — awaiting fix</t>
        </is>
      </c>
      <c r="T75" s="7" t="inlineStr"/>
    </row>
    <row r="76">
      <c r="A76" s="6" t="inlineStr">
        <is>
          <t>WC-010</t>
        </is>
      </c>
      <c r="B76" s="7" t="inlineStr">
        <is>
          <t>Doubled route segment</t>
        </is>
      </c>
      <c r="C76" s="12" t="inlineStr">
        <is>
          <t>S4 Minor</t>
        </is>
      </c>
      <c r="D76" s="7" t="inlineStr">
        <is>
          <t>P4</t>
        </is>
      </c>
      <c r="E76" s="7" t="inlineStr">
        <is>
          <t>Build hygiene</t>
        </is>
      </c>
      <c r="F76" s="7" t="inlineStr">
        <is>
          <t>Phase 1</t>
        </is>
      </c>
      <c r="G76" s="7" t="inlineStr">
        <is>
          <t>UAT / dev (read-only)</t>
        </is>
      </c>
      <c r="H76" s="7" t="inlineStr">
        <is>
          <t>Inspection, not a runtime reproduction.
1. Open /fc/fc/all-batches.
2. Confirm what the Actual Result column describes is present (or absent).
3. Full reasoning is in findings/findings-log.md under WC-010.</t>
        </is>
      </c>
      <c r="I76" s="7" t="inlineStr">
        <is>
          <t>Build and release hygiene: no development artefacts, warnings or broken copy in a deployed application.</t>
        </is>
      </c>
      <c r="J76" s="7" t="inlineStr">
        <is>
          <t>FC nav links use /fc/fc/all-batches, /fc/fc/counselling, /fc/fc/tasks (double fc). Works, but smells like a base-path bug.</t>
        </is>
      </c>
      <c r="K76" s="7" t="inlineStr">
        <is>
          <t>test-results-run2/sweep-route-sweep--fc-rout-8f432--fc-all-batches-AllBatches--fc/test-failed-1.png · test-results-run1/sweep-route-sweep--fc-rout-d2783-nselling-CareerCounselling--fc-retry1/test-failed-1.png · findings/findings-log.md -&gt; WC-010</t>
        </is>
      </c>
      <c r="L76"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M76" s="7" t="inlineStr">
        <is>
          <t>Not recorded</t>
        </is>
      </c>
      <c r="N76" s="7" t="inlineStr"/>
      <c r="O76" s="9" t="inlineStr">
        <is>
          <t>Open</t>
        </is>
      </c>
      <c r="P76" s="9" t="inlineStr"/>
      <c r="Q76" s="9" t="inlineStr"/>
      <c r="R76" s="9" t="inlineStr">
        <is>
          <t>Open</t>
        </is>
      </c>
      <c r="S76" s="9" t="inlineStr">
        <is>
          <t>Open — awaiting fix</t>
        </is>
      </c>
      <c r="T76" s="7" t="inlineStr"/>
    </row>
    <row r="77">
      <c r="A77" s="6" t="inlineStr">
        <is>
          <t>WC-032</t>
        </is>
      </c>
      <c r="B77" s="7" t="inlineStr">
        <is>
          <t>Dead anchors (href="#") in navigation</t>
        </is>
      </c>
      <c r="C77" s="12" t="inlineStr">
        <is>
          <t>S4 Minor</t>
        </is>
      </c>
      <c r="D77" s="7" t="inlineStr">
        <is>
          <t>P4</t>
        </is>
      </c>
      <c r="E77" s="7" t="inlineStr">
        <is>
          <t>Frontend</t>
        </is>
      </c>
      <c r="F77" s="7" t="inlineStr">
        <is>
          <t>Phase 1</t>
        </is>
      </c>
      <c r="G77" s="7" t="inlineStr">
        <is>
          <t>UAT / dev (read-only)</t>
        </is>
      </c>
      <c r="H77"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I77" s="7" t="inlineStr">
        <is>
          <t>The screen renders its content when the URL is opened directly, refreshed, or reached from a bookmark.</t>
        </is>
      </c>
      <c r="J77" s="7" t="inlineStr">
        <is>
          <t>10 across the sampled routes — CH 6, FC 3, and "Forgot Password?" on the shared login page. They render as links, respond to hover, and do nothing when clicked.</t>
        </is>
      </c>
      <c r="K77" s="7" t="inlineStr">
        <is>
          <t>findings/findings-log.md -&gt; WC-032</t>
        </is>
      </c>
      <c r="L77"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M77" s="7" t="inlineStr">
        <is>
          <t>Verified</t>
        </is>
      </c>
      <c r="N77" s="7" t="inlineStr"/>
      <c r="O77" s="9" t="inlineStr">
        <is>
          <t>Open</t>
        </is>
      </c>
      <c r="P77" s="9" t="inlineStr"/>
      <c r="Q77" s="9" t="inlineStr"/>
      <c r="R77" s="9" t="inlineStr">
        <is>
          <t>Open</t>
        </is>
      </c>
      <c r="S77" s="9" t="inlineStr">
        <is>
          <t>Open — awaiting fix</t>
        </is>
      </c>
      <c r="T77" s="7" t="inlineStr"/>
    </row>
    <row r="78">
      <c r="A78" s="6" t="inlineStr">
        <is>
          <t>WC-041</t>
        </is>
      </c>
      <c r="B78" s="7" t="inlineStr">
        <is>
          <t>Developer test route shipped in the deployed Outreach Coordinator application</t>
        </is>
      </c>
      <c r="C78" s="12" t="inlineStr">
        <is>
          <t>S4 Minor</t>
        </is>
      </c>
      <c r="D78" s="7" t="inlineStr">
        <is>
          <t>P4</t>
        </is>
      </c>
      <c r="E78" s="7" t="inlineStr">
        <is>
          <t>Build hygiene</t>
        </is>
      </c>
      <c r="F78" s="7" t="inlineStr">
        <is>
          <t>Phase 1</t>
        </is>
      </c>
      <c r="G78" s="7" t="inlineStr">
        <is>
          <t>UAT / dev (read-only)</t>
        </is>
      </c>
      <c r="H78" s="7" t="inlineStr">
        <is>
          <t>Inspection, not a runtime reproduction.
1. Open /oc/test-zustand, defined in the OC application's router and reachable in UAT.
2. Confirm what the Actual Result column describes is present (or absent).
3. Full reasoning is in findings/findings-log.md under WC-041.</t>
        </is>
      </c>
      <c r="I78" s="7" t="inlineStr">
        <is>
          <t>Build and release hygiene: no development artefacts, warnings or broken copy in a deployed application.</t>
        </is>
      </c>
      <c r="J78" s="7" t="inlineStr">
        <is>
          <t>present in the deployed route inventory; named for the state-management library, indicating a development scratch screen rather than a user-facing feature.</t>
        </is>
      </c>
      <c r="K78" s="7" t="inlineStr">
        <is>
          <t>findings/findings-log.md -&gt; WC-041</t>
        </is>
      </c>
      <c r="L78" s="7" t="inlineStr">
        <is>
          <t>exclude development routes from production builds, or gate them behind a build flag.</t>
        </is>
      </c>
      <c r="M78" s="7" t="inlineStr">
        <is>
          <t>Verified</t>
        </is>
      </c>
      <c r="N78" s="7" t="inlineStr"/>
      <c r="O78" s="9" t="inlineStr">
        <is>
          <t>Open</t>
        </is>
      </c>
      <c r="P78" s="9" t="inlineStr"/>
      <c r="Q78" s="9" t="inlineStr"/>
      <c r="R78" s="9" t="inlineStr">
        <is>
          <t>Open</t>
        </is>
      </c>
      <c r="S78" s="9" t="inlineStr">
        <is>
          <t>Open — awaiting fix</t>
        </is>
      </c>
      <c r="T78" s="7" t="inlineStr"/>
    </row>
    <row r="79">
      <c r="A79" s="6" t="inlineStr">
        <is>
          <t>WC-063</t>
        </is>
      </c>
      <c r="B79" s="7" t="inlineStr">
        <is>
          <t>A stale doctype folder declares the same name as its replacement</t>
        </is>
      </c>
      <c r="C79" s="12" t="inlineStr">
        <is>
          <t>S4 Minor</t>
        </is>
      </c>
      <c r="D79" s="7" t="inlineStr">
        <is>
          <t>P4</t>
        </is>
      </c>
      <c r="E79" s="7" t="inlineStr">
        <is>
          <t>Handover / configuration</t>
        </is>
      </c>
      <c r="F79" s="7" t="inlineStr">
        <is>
          <t>Phase 2</t>
        </is>
      </c>
      <c r="G79" s="7" t="inlineStr">
        <is>
          <t>UAT / dev (read-only)</t>
        </is>
      </c>
      <c r="H7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I79" s="7" t="inlineStr">
        <is>
          <t>Everything needed to build and run the platform is present in the repositories the foundation owns.</t>
        </is>
      </c>
      <c r="J7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K79" s="7" t="inlineStr">
        <is>
          <t>evidence/doctype-schemas.json · suite/probes/compare-environments.mjs · findings/findings-log.md -&gt; WC-063</t>
        </is>
      </c>
      <c r="L79" s="7" t="inlineStr">
        <is>
          <t>delete the google_form_settings/ folder.</t>
        </is>
      </c>
      <c r="M79" s="7" t="inlineStr">
        <is>
          <t>Verified</t>
        </is>
      </c>
      <c r="N79" s="7" t="inlineStr"/>
      <c r="O79" s="9" t="inlineStr">
        <is>
          <t>Open</t>
        </is>
      </c>
      <c r="P79" s="9" t="inlineStr"/>
      <c r="Q79" s="9" t="inlineStr"/>
      <c r="R79" s="9" t="inlineStr">
        <is>
          <t>Open</t>
        </is>
      </c>
      <c r="S79" s="9" t="inlineStr">
        <is>
          <t>Open — awaiting fix</t>
        </is>
      </c>
      <c r="T79" s="7" t="inlineStr"/>
    </row>
    <row r="80">
      <c r="A80" s="6" t="inlineStr">
        <is>
          <t>WC-120</t>
        </is>
      </c>
      <c r="B80" s="7" t="inlineStr">
        <is>
          <t>File upload accepts any type and any size, though two controls reduce the impact</t>
        </is>
      </c>
      <c r="C80" s="12" t="inlineStr">
        <is>
          <t>S4 Minor</t>
        </is>
      </c>
      <c r="D80" s="7" t="inlineStr">
        <is>
          <t>P4</t>
        </is>
      </c>
      <c r="E80" s="7" t="inlineStr">
        <is>
          <t>Authorisation</t>
        </is>
      </c>
      <c r="F80" s="7" t="inlineStr">
        <is>
          <t>Phase 2 (security)</t>
        </is>
      </c>
      <c r="G80" s="7" t="inlineStr">
        <is>
          <t>Source review</t>
        </is>
      </c>
      <c r="H8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I80" s="7" t="inlineStr">
        <is>
          <t>The endpoint checks the caller's authorisation before acting, and refuses the call when the caller is not permitted.</t>
        </is>
      </c>
      <c r="J8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K80" s="7" t="inlineStr">
        <is>
          <t>evidence/gate-probe-results.json · evidence/bypass-endpoints.json · suite/probes/gate-probe.mjs · findings/findings-log.md -&gt; WC-120</t>
        </is>
      </c>
      <c r="L80" s="7" t="inlineStr">
        <is>
          <t>add an extension/type allowlist appropriate to the documents these forms expect (PDF and common image types), enforce a maximum size, and derive the content type from the file content rather than its name.</t>
        </is>
      </c>
      <c r="M80" s="7" t="inlineStr">
        <is>
          <t>Verified — source</t>
        </is>
      </c>
      <c r="N80" s="7" t="inlineStr"/>
      <c r="O80" s="9" t="inlineStr">
        <is>
          <t>Open</t>
        </is>
      </c>
      <c r="P80" s="9" t="inlineStr"/>
      <c r="Q80" s="9" t="inlineStr"/>
      <c r="R80" s="9" t="inlineStr">
        <is>
          <t>Open</t>
        </is>
      </c>
      <c r="S80" s="9" t="inlineStr">
        <is>
          <t>Open — awaiting fix</t>
        </is>
      </c>
      <c r="T80" s="7" t="inlineStr"/>
    </row>
  </sheetData>
  <autoFilter ref="A1:T80"/>
  <dataValidations count="1">
    <dataValidation sqref="O2:O80"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COUNTIF(Bugs!$C$2:$C$80,"S1 Blocker")</f>
        <v/>
      </c>
    </row>
    <row r="7">
      <c r="A7" s="2" t="inlineStr">
        <is>
          <t>S2 Critical</t>
        </is>
      </c>
      <c r="B7" s="2">
        <f>COUNTIF(Bugs!$C$2:$C$80,"S2 Critical")</f>
        <v/>
      </c>
    </row>
    <row r="8">
      <c r="A8" s="2" t="inlineStr">
        <is>
          <t>S3 Major</t>
        </is>
      </c>
      <c r="B8" s="2">
        <f>COUNTIF(Bugs!$C$2:$C$80,"S3 Major")</f>
        <v/>
      </c>
    </row>
    <row r="9">
      <c r="A9" s="2" t="inlineStr">
        <is>
          <t>S4 Minor</t>
        </is>
      </c>
      <c r="B9" s="2">
        <f>COUNTIF(Bugs!$C$2:$C$80,"S4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COUNTIF(Bugs!$D$2:$D$80,"P1")</f>
        <v/>
      </c>
    </row>
    <row r="15">
      <c r="A15" s="2" t="inlineStr">
        <is>
          <t>P2</t>
        </is>
      </c>
      <c r="B15" s="2">
        <f>COUNTIF(Bugs!$D$2:$D$80,"P2")</f>
        <v/>
      </c>
    </row>
    <row r="16">
      <c r="A16" s="2" t="inlineStr">
        <is>
          <t>P3</t>
        </is>
      </c>
      <c r="B16" s="2">
        <f>COUNTIF(Bugs!$D$2:$D$80,"P3")</f>
        <v/>
      </c>
    </row>
    <row r="17">
      <c r="A17" s="2" t="inlineStr">
        <is>
          <t>P4</t>
        </is>
      </c>
      <c r="B17" s="2">
        <f>COUNTIF(Bugs!$D$2:$D$80,"P4")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COUNTIF(Bugs!$E$2:$E$80,"API contract")</f>
        <v/>
      </c>
    </row>
    <row r="23">
      <c r="A23" s="2" t="inlineStr">
        <is>
          <t>Accessibility</t>
        </is>
      </c>
      <c r="B23" s="2">
        <f>COUNTIF(Bugs!$E$2:$E$80,"Accessibility")</f>
        <v/>
      </c>
    </row>
    <row r="24">
      <c r="A24" s="2" t="inlineStr">
        <is>
          <t>Authentication / session</t>
        </is>
      </c>
      <c r="B24" s="2">
        <f>COUNTIF(Bugs!$E$2:$E$80,"Authentication / session")</f>
        <v/>
      </c>
    </row>
    <row r="25">
      <c r="A25" s="2" t="inlineStr">
        <is>
          <t>Authorisation</t>
        </is>
      </c>
      <c r="B25" s="2">
        <f>COUNTIF(Bugs!$E$2:$E$80,"Authorisation")</f>
        <v/>
      </c>
    </row>
    <row r="26">
      <c r="A26" s="2" t="inlineStr">
        <is>
          <t>Build hygiene</t>
        </is>
      </c>
      <c r="B26" s="2">
        <f>COUNTIF(Bugs!$E$2:$E$80,"Build hygiene")</f>
        <v/>
      </c>
    </row>
    <row r="27">
      <c r="A27" s="2" t="inlineStr">
        <is>
          <t>Data protection</t>
        </is>
      </c>
      <c r="B27" s="2">
        <f>COUNTIF(Bugs!$E$2:$E$80,"Data protection")</f>
        <v/>
      </c>
    </row>
    <row r="28">
      <c r="A28" s="2" t="inlineStr">
        <is>
          <t>Error handling</t>
        </is>
      </c>
      <c r="B28" s="2">
        <f>COUNTIF(Bugs!$E$2:$E$80,"Error handling")</f>
        <v/>
      </c>
    </row>
    <row r="29">
      <c r="A29" s="2" t="inlineStr">
        <is>
          <t>Frontend</t>
        </is>
      </c>
      <c r="B29" s="2">
        <f>COUNTIF(Bugs!$E$2:$E$80,"Frontend")</f>
        <v/>
      </c>
    </row>
    <row r="30">
      <c r="A30" s="2" t="inlineStr">
        <is>
          <t>Handover / configuration</t>
        </is>
      </c>
      <c r="B30" s="2">
        <f>COUNTIF(Bugs!$E$2:$E$80,"Handover / configuration")</f>
        <v/>
      </c>
    </row>
    <row r="31">
      <c r="A31" s="2" t="inlineStr">
        <is>
          <t>Input validation</t>
        </is>
      </c>
      <c r="B31" s="2">
        <f>COUNTIF(Bugs!$E$2:$E$80,"Input validation")</f>
        <v/>
      </c>
    </row>
    <row r="32">
      <c r="A32" s="2" t="inlineStr">
        <is>
          <t>Performance</t>
        </is>
      </c>
      <c r="B32" s="2">
        <f>COUNTIF(Bugs!$E$2:$E$80,"Performance")</f>
        <v/>
      </c>
    </row>
    <row r="33">
      <c r="A33" s="2" t="inlineStr">
        <is>
          <t>Security configuration</t>
        </is>
      </c>
      <c r="B33" s="2">
        <f>COUNTIF(Bugs!$E$2:$E$80,"Security configuration")</f>
        <v/>
      </c>
    </row>
    <row r="34">
      <c r="A34" s="2" t="inlineStr">
        <is>
          <t>Transactional integrity</t>
        </is>
      </c>
      <c r="B34" s="2">
        <f>COUNTIF(Bugs!$E$2:$E$80,"Transactional integrity")</f>
        <v/>
      </c>
    </row>
    <row r="35">
      <c r="A35" s="2" t="inlineStr">
        <is>
          <t>Workflow / state</t>
        </is>
      </c>
      <c r="B35" s="2">
        <f>COUNTIF(Bugs!$E$2:$E$80,"Workflow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COUNTIF(Bugs!$O$2:$O$80,"Open")</f>
        <v/>
      </c>
    </row>
    <row r="41">
      <c r="A41" s="2" t="inlineStr">
        <is>
          <t>In Progress</t>
        </is>
      </c>
      <c r="B41" s="2">
        <f>COUNTIF(Bugs!$O$2:$O$80,"In Progress")</f>
        <v/>
      </c>
    </row>
    <row r="42">
      <c r="A42" s="2" t="inlineStr">
        <is>
          <t>Fixed</t>
        </is>
      </c>
      <c r="B42" s="2">
        <f>COUNTIF(Bugs!$O$2:$O$80,"Fixed")</f>
        <v/>
      </c>
    </row>
    <row r="43">
      <c r="A43" s="2" t="inlineStr">
        <is>
          <t>Re-test</t>
        </is>
      </c>
      <c r="B43" s="2">
        <f>COUNTIF(Bugs!$O$2:$O$80,"Re-test")</f>
        <v/>
      </c>
    </row>
    <row r="44">
      <c r="A44" s="2" t="inlineStr">
        <is>
          <t>Closed</t>
        </is>
      </c>
      <c r="B44" s="2">
        <f>COUNTIF(Bugs!$O$2:$O$80,"Closed")</f>
        <v/>
      </c>
    </row>
    <row r="45">
      <c r="A45" s="2" t="inlineStr">
        <is>
          <t>Deferred</t>
        </is>
      </c>
      <c r="B45" s="2">
        <f>COUNTIF(Bugs!$O$2:$O$80,"Deferred")</f>
        <v/>
      </c>
    </row>
    <row r="46">
      <c r="A46" s="4" t="inlineStr">
        <is>
          <t>Total</t>
        </is>
      </c>
      <c r="B46" s="4">
        <f>SUM(B40:B45)</f>
        <v/>
      </c>
    </row>
    <row r="48">
      <c r="A48" s="4" t="inlineStr">
        <is>
          <t>Fix these four first — minutes of work each</t>
        </is>
      </c>
    </row>
    <row r="49">
      <c r="A49" s="4" t="inlineStr">
        <is>
          <t>WC-088</t>
        </is>
      </c>
      <c r="B49" s="2">
        <f>IFERROR(INDEX(Bugs!$O$2:$O$80,MATCH("WC-088",Bugs!$A$2:$A$80,0)),"not found")</f>
        <v/>
      </c>
      <c r="C49" s="3" t="inlineStr">
        <is>
          <t>One-word typo breaking Enquiry Form status changes. Two sites, not one.</t>
        </is>
      </c>
    </row>
    <row r="50">
      <c r="A50" s="4" t="inlineStr">
        <is>
          <t>WC-068</t>
        </is>
      </c>
      <c r="B50" s="2">
        <f>IFERROR(INDEX(Bugs!$O$2:$O$80,MATCH("WC-068",Bugs!$A$2:$A$80,0)),"not found")</f>
        <v/>
      </c>
      <c r="C50" s="3" t="inlineStr">
        <is>
          <t>Remove allow_guest from three endpoints publishing the full API specification.</t>
        </is>
      </c>
    </row>
    <row r="51">
      <c r="A51" s="4" t="inlineStr">
        <is>
          <t>WC-023</t>
        </is>
      </c>
      <c r="B51" s="2">
        <f>IFERROR(INDEX(Bugs!$O$2:$O$80,MATCH("WC-023",Bugs!$A$2:$A$80,0)),"not found")</f>
        <v/>
      </c>
      <c r="C51" s="3" t="inlineStr">
        <is>
          <t>Stop returning Python stack traces to callers.</t>
        </is>
      </c>
    </row>
    <row r="52">
      <c r="A52" s="4" t="inlineStr">
        <is>
          <t>WC-121</t>
        </is>
      </c>
      <c r="B52" s="2">
        <f>IFERROR(INDEX(Bugs!$O$2:$O$80,MATCH("WC-121",Bugs!$A$2:$A$80,0)),"not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WeConnect 2.0 QA</dc:creator>
  <dc:title>WeConnect 2.0 QA Defect Tracker</dc:title>
  <dcterms:created xsi:type="dcterms:W3CDTF">2026-10-04T10:48:10Z</dcterms:created>
  <dcterms:modified xsi:type="dcterms:W3CDTF">2026-10-04T10:48:10Z</dcterms:modified>
  <cp:lastModifiedBy>WeConnect 2.0 QA</cp:lastModifiedBy>
</cp:coreProperties>
</file>