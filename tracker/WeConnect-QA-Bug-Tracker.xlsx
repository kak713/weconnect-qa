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gs" sheetId="2" state="visible" r:id="rId2"/>
    <sheet xmlns:r="http://schemas.openxmlformats.org/officeDocument/2006/relationships" name="Backend Bugs" sheetId="3" state="visible" r:id="rId3"/>
    <sheet xmlns:r="http://schemas.openxmlformats.org/officeDocument/2006/relationships" name="Frontend Bugs" sheetId="4" state="visible" r:id="rId4"/>
    <sheet xmlns:r="http://schemas.openxmlformats.org/officeDocument/2006/relationships" name="Daily Report" sheetId="5" state="visible" r:id="rId5"/>
    <sheet xmlns:r="http://schemas.openxmlformats.org/officeDocument/2006/relationships" name="Summary" sheetId="6" state="visible" r:id="rId6"/>
    <sheet xmlns:r="http://schemas.openxmlformats.org/officeDocument/2006/relationships" name="Observations" sheetId="7" state="visible" r:id="rId7"/>
  </sheets>
  <definedNames>
    <definedName name="_xlnm._FilterDatabase" localSheetId="1" hidden="1">'Bugs'!$A$1:$W$88</definedName>
    <definedName name="_xlnm._FilterDatabase" localSheetId="2" hidden="1">'Backend Bugs'!$A$4:$K$70</definedName>
    <definedName name="_xlnm._FilterDatabase" localSheetId="3" hidden="1">'Frontend Bugs'!$A$4:$K$25</definedName>
    <definedName name="_xlnm._FilterDatabase" localSheetId="6" hidden="1">'Observations'!$A$4:$D$46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003A2E6E"/>
      <sz val="14"/>
    </font>
    <font>
      <name val="Times New Roman"/>
      <sz val="10"/>
    </font>
    <font>
      <name val="Times New Roman"/>
      <b val="1"/>
      <sz val="10"/>
    </font>
    <font>
      <name val="Times New Roman"/>
      <b val="1"/>
      <color rgb="00FFFFFF"/>
      <sz val="10"/>
    </font>
    <font>
      <name val="Times New Roman"/>
      <color rgb="00444444"/>
      <sz val="10"/>
    </font>
  </fonts>
  <fills count="8">
    <fill>
      <patternFill/>
    </fill>
    <fill>
      <patternFill patternType="gray125"/>
    </fill>
    <fill>
      <patternFill patternType="solid">
        <fgColor rgb="003A2E6E"/>
      </patternFill>
    </fill>
    <fill>
      <patternFill patternType="solid">
        <fgColor rgb="00FFF9DB"/>
      </patternFill>
    </fill>
    <fill>
      <patternFill patternType="solid">
        <fgColor rgb="00F4CCCC"/>
      </patternFill>
    </fill>
    <fill>
      <patternFill patternType="solid">
        <fgColor rgb="00FCE5CD"/>
      </patternFill>
    </fill>
    <fill>
      <patternFill patternType="solid">
        <fgColor rgb="00FFF2CC"/>
      </patternFill>
    </fill>
    <fill>
      <patternFill patternType="solid">
        <fgColor rgb="00EFEFEF"/>
      </patternFill>
    </fill>
  </fills>
  <borders count="2">
    <border>
      <left/>
      <right/>
      <top/>
      <bottom/>
      <diagonal/>
    </border>
    <border>
      <left style="thin">
        <color rgb="00D8D4E4"/>
      </left>
      <right style="thin">
        <color rgb="00D8D4E4"/>
      </right>
      <top style="thin">
        <color rgb="00D8D4E4"/>
      </top>
      <bottom style="thin">
        <color rgb="00D8D4E4"/>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5" fillId="0" borderId="0" applyAlignment="1" pivotButton="0" quotePrefix="0" xfId="0">
      <alignment vertical="top" wrapText="1"/>
    </xf>
    <xf numFmtId="0" fontId="5"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2" customWidth="1" min="1" max="1"/>
    <col width="104" customWidth="1" min="2" max="2"/>
  </cols>
  <sheetData>
    <row r="1">
      <c r="A1" s="1" t="inlineStr">
        <is>
          <t>WeConnect 2.0 — QA Defect Tracker</t>
        </is>
      </c>
    </row>
    <row r="3">
      <c r="A3" s="2" t="inlineStr"/>
      <c r="B3" s="3" t="inlineStr"/>
    </row>
    <row r="4">
      <c r="A4" s="2" t="inlineStr">
        <is>
          <t>Prepared for</t>
        </is>
      </c>
      <c r="B4" s="3" t="inlineStr">
        <is>
          <t>Lighthouse Communities Foundation</t>
        </is>
      </c>
    </row>
    <row r="5">
      <c r="A5" s="2" t="inlineStr">
        <is>
          <t>Date</t>
        </is>
      </c>
      <c r="B5" s="3" t="inlineStr">
        <is>
          <t>2026-10-04</t>
        </is>
      </c>
    </row>
    <row r="6">
      <c r="A6" s="2" t="inlineStr">
        <is>
          <t>Scope</t>
        </is>
      </c>
      <c r="B6" s="3" t="inlineStr">
        <is>
          <t>Phases 1 and 2 — read-only testing and transactional testing</t>
        </is>
      </c>
    </row>
    <row r="7">
      <c r="A7" s="2" t="inlineStr">
        <is>
          <t>Source of record</t>
        </is>
      </c>
      <c r="B7" s="3" t="inlineStr">
        <is>
          <t>findings/findings-log.md in the QA repository. Each row carries its Bug ID, so any entry here can be traced to its full write-up.</t>
        </is>
      </c>
    </row>
    <row r="8">
      <c r="A8" s="2" t="inlineStr"/>
      <c r="B8" s="3" t="inlineStr"/>
    </row>
    <row r="9">
      <c r="A9" s="4" t="inlineStr">
        <is>
          <t>Contents</t>
        </is>
      </c>
      <c r="B9" s="3" t="inlineStr"/>
    </row>
    <row r="10">
      <c r="A10" s="2" t="inlineStr">
        <is>
          <t>Bugs</t>
        </is>
      </c>
      <c r="B10" s="3" t="inlineStr">
        <is>
          <t>84 defects, one per row, ordered by priority.</t>
        </is>
      </c>
    </row>
    <row r="11">
      <c r="A11" s="2" t="inlineStr">
        <is>
          <t>Daily Report</t>
        </is>
      </c>
      <c r="B11" s="3" t="inlineStr">
        <is>
          <t>Progress by working day, with the previous day's work shown beside each day's.</t>
        </is>
      </c>
    </row>
    <row r="12">
      <c r="A12" s="2" t="inlineStr">
        <is>
          <t>Summary</t>
        </is>
      </c>
      <c r="B12" s="3" t="inlineStr">
        <is>
          <t>Counts by severity, priority, area and status. Figures are formulas over the Bugs tab and update when it is edited.</t>
        </is>
      </c>
    </row>
    <row r="13">
      <c r="A13" s="2" t="inlineStr">
        <is>
          <t>Observations</t>
        </is>
      </c>
      <c r="B13" s="3" t="inlineStr">
        <is>
          <t>40 informational records. These are not defects and cannot be closed; they are held separately so they do not affect the defect count.</t>
        </is>
      </c>
    </row>
    <row r="14">
      <c r="A14" s="2" t="inlineStr"/>
      <c r="B14" s="3" t="inlineStr"/>
    </row>
    <row r="15">
      <c r="A15" s="4" t="inlineStr">
        <is>
          <t>Column reference</t>
        </is>
      </c>
      <c r="B15" s="3" t="inlineStr"/>
    </row>
    <row r="16">
      <c r="A16" s="2" t="inlineStr">
        <is>
          <t>Bug ID</t>
        </is>
      </c>
      <c r="B16" s="3" t="inlineStr">
        <is>
          <t>Stable identifier. Does not change if severity or ordering changes.</t>
        </is>
      </c>
    </row>
    <row r="17">
      <c r="A17" s="2" t="inlineStr">
        <is>
          <t>Severity</t>
        </is>
      </c>
      <c r="B17" s="3" t="inlineStr">
        <is>
          <t>S1 Blocker, S2 Critical, S3 Major, S4 Minor, on the ISTQB scale.</t>
        </is>
      </c>
    </row>
    <row r="18">
      <c r="A18" s="2" t="inlineStr">
        <is>
          <t>Persona / Role</t>
        </is>
      </c>
      <c r="B18" s="3" t="inlineStr">
        <is>
          <t>Which role reaches the defect. Traced through the frontend sources where an endpoint is involved; otherwise taken from the register. Behaviour differs by role, so this governs which login to use.</t>
        </is>
      </c>
    </row>
    <row r="19">
      <c r="A19" s="2" t="inlineStr">
        <is>
          <t>Screen(s)</t>
        </is>
      </c>
      <c r="B19" s="3" t="inlineStr">
        <is>
          <t>The exact route whose screen calls the affected endpoint, traced through api-constants to the page component to the route table. Blank means no screen reaches it and the Steps column says how to get at it instead.</t>
        </is>
      </c>
    </row>
    <row r="20">
      <c r="A20" s="2" t="inlineStr">
        <is>
          <t>Priority</t>
        </is>
      </c>
      <c r="B20" s="3" t="inlineStr">
        <is>
          <t>P1 to P4. Weighs the cost of the fix against the cost of leaving it, so it differs from severity in both directions.</t>
        </is>
      </c>
    </row>
    <row r="21">
      <c r="A21" s="2" t="inlineStr">
        <is>
          <t>Environment</t>
        </is>
      </c>
      <c r="B21" s="3" t="inlineStr">
        <is>
          <t>Where the defect was observed: UAT/dev read-only, the isolated stack with synthetic data, or source review.</t>
        </is>
      </c>
    </row>
    <row r="22">
      <c r="A22" s="2" t="inlineStr">
        <is>
          <t>Steps to Reproduce</t>
        </is>
      </c>
      <c r="B22" s="3" t="inlineStr">
        <is>
          <t>Numbered steps. Entries marked as code review or inspection have no runtime reproduction and say so.</t>
        </is>
      </c>
    </row>
    <row r="23">
      <c r="A23" s="2" t="inlineStr">
        <is>
          <t>Expected Result</t>
        </is>
      </c>
      <c r="B23" s="3" t="inlineStr">
        <is>
          <t>Derived from the defect class. The characterisation document is unsigned, so for behavioural questions this is our reading rather than an agreed specification.</t>
        </is>
      </c>
    </row>
    <row r="24">
      <c r="A24" s="2" t="inlineStr">
        <is>
          <t>Impact</t>
        </is>
      </c>
      <c r="B24" s="3" t="inlineStr">
        <is>
          <t>What the defect costs if left in place, quoted from the register. This is where the weight of a finding sits, not in the severity label alone.</t>
        </is>
      </c>
    </row>
    <row r="25">
      <c r="A25" s="2" t="inlineStr">
        <is>
          <t>Actual Result</t>
        </is>
      </c>
      <c r="B25" s="3" t="inlineStr">
        <is>
          <t>What was observed, quoted from the register.</t>
        </is>
      </c>
    </row>
    <row r="26">
      <c r="A26" s="2" t="inlineStr">
        <is>
          <t>Attachment / Screenshot Reference</t>
        </is>
      </c>
      <c r="B26" s="3" t="inlineStr">
        <is>
          <t>Screen captures apply only to defects with a visible screen that failed. Most findings are API-level or source-level; each cites its probe output, the script that reproduces it, or a one-line re-check command.</t>
        </is>
      </c>
    </row>
    <row r="27">
      <c r="A27" s="2" t="inlineStr">
        <is>
          <t>How Verified</t>
        </is>
      </c>
      <c r="B27" s="3" t="inlineStr">
        <is>
          <t>How the defect was established, as recorded in the register.</t>
        </is>
      </c>
    </row>
    <row r="28">
      <c r="A28" s="2" t="inlineStr">
        <is>
          <t>Date Reported</t>
        </is>
      </c>
      <c r="B28" s="3" t="inlineStr">
        <is>
          <t>Recorded for 19 of 84. Per-finding dates were not captured for the remainder; the Phase column gives approximate sequence.</t>
        </is>
      </c>
    </row>
    <row r="29">
      <c r="A29" s="2" t="inlineStr">
        <is>
          <t>Re-check Command</t>
        </is>
      </c>
      <c r="B29" s="3" t="inlineStr">
        <is>
          <t>Present for the 23 defects that can be verified mechanically.</t>
        </is>
      </c>
    </row>
    <row r="30">
      <c r="A30" s="2" t="inlineStr"/>
      <c r="B30" s="3" t="inlineStr"/>
    </row>
    <row r="31">
      <c r="A31" s="2" t="inlineStr">
        <is>
          <t>Maintained by Lighthouse</t>
        </is>
      </c>
      <c r="B31" s="3" t="inlineStr">
        <is>
          <t>Shaded pale yellow: Status, Assigned To, Target Fix Date, Previous Day Status, Today's Status. Status is set to Open throughout and carries a dropdown.</t>
        </is>
      </c>
    </row>
    <row r="32">
      <c r="A32" s="2" t="inlineStr">
        <is>
          <t>Re-checking a fix</t>
        </is>
      </c>
      <c r="B32" s="3" t="inlineStr">
        <is>
          <t>For the 23 with a Re-check Command, run: node verify/run.mjs --only &lt;Bug ID&gt;. It requires Node, installs nothing, and issues read-only requests by default. For the remainder, follow the Steps to Reproduce column.</t>
        </is>
      </c>
    </row>
    <row r="33">
      <c r="A33" s="2" t="inlineStr"/>
      <c r="B33" s="3" t="inlineStr"/>
    </row>
    <row r="34">
      <c r="A34" s="4" t="inlineStr">
        <is>
          <t>Outstanding items</t>
        </is>
      </c>
      <c r="B34" s="3" t="inlineStr"/>
    </row>
    <row r="35">
      <c r="A35" s="2" t="inlineStr">
        <is>
          <t>Immediate fixes</t>
        </is>
      </c>
      <c r="B35" s="3" t="inlineStr">
        <is>
          <t>WC-088, WC-068, WC-023 and WC-121 are each a few minutes of work and require no planning cycle.</t>
        </is>
      </c>
    </row>
    <row r="36">
      <c r="A36" s="2" t="inlineStr">
        <is>
          <t>Characterisation sign-off</t>
        </is>
      </c>
      <c r="B36" s="3" t="inlineStr">
        <is>
          <t>Part 1 of docs/CHARACTERISATION.md. Seven answers to confirm, six to acknowledge, two to answer. Functional-correctness testing and regression closure depend on it.</t>
        </is>
      </c>
    </row>
    <row r="37">
      <c r="A37" s="2" t="inlineStr">
        <is>
          <t>BrowserStack capacity</t>
        </is>
      </c>
      <c r="B37" s="3" t="inlineStr">
        <is>
          <t>One decision, set out in docs/BROWSERSTACK-RECOMMENDATION.md. Affects Phase 3 scope and cost rather than schedule.</t>
        </is>
      </c>
    </row>
    <row r="38">
      <c r="A38" s="2" t="inlineStr">
        <is>
          <t>Independent of the above</t>
        </is>
      </c>
      <c r="B38" s="3" t="inlineStr">
        <is>
          <t>Phase 3 cross-browser execution and continuous integration run the existing suites and need no 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2" customWidth="1" min="2" max="2"/>
    <col width="10" customWidth="1" min="3" max="3"/>
    <col width="9" customWidth="1" min="4" max="4"/>
    <col width="30" customWidth="1" min="5" max="5"/>
    <col width="34" customWidth="1" min="6" max="6"/>
    <col width="22" customWidth="1" min="7" max="7"/>
    <col width="10" customWidth="1" min="8" max="8"/>
    <col width="26" customWidth="1" min="9" max="9"/>
    <col width="62" customWidth="1" min="10" max="10"/>
    <col width="52" customWidth="1" min="11" max="11"/>
    <col width="60" customWidth="1" min="12" max="12"/>
    <col width="72" customWidth="1" min="13" max="13"/>
    <col width="46" customWidth="1" min="14" max="14"/>
    <col width="56" customWidth="1" min="15" max="15"/>
    <col width="34" customWidth="1" min="16" max="16"/>
    <col width="14" customWidth="1" min="17" max="17"/>
    <col width="12" customWidth="1" min="18" max="18"/>
    <col width="16" customWidth="1" min="19" max="19"/>
    <col width="15" customWidth="1" min="20" max="20"/>
    <col width="28" customWidth="1" min="21" max="21"/>
    <col width="28" customWidth="1" min="22" max="22"/>
    <col width="34" customWidth="1" min="23" max="23"/>
  </cols>
  <sheetData>
    <row r="1" ht="34" customHeight="1">
      <c r="A1" s="5" t="inlineStr">
        <is>
          <t>Bug ID</t>
        </is>
      </c>
      <c r="B1" s="5" t="inlineStr">
        <is>
          <t>Bug Title</t>
        </is>
      </c>
      <c r="C1" s="5" t="inlineStr">
        <is>
          <t>Severity</t>
        </is>
      </c>
      <c r="D1" s="5" t="inlineStr">
        <is>
          <t>Priority</t>
        </is>
      </c>
      <c r="E1" s="5" t="inlineStr">
        <is>
          <t>Persona / Role</t>
        </is>
      </c>
      <c r="F1" s="5" t="inlineStr">
        <is>
          <t>Screen(s)</t>
        </is>
      </c>
      <c r="G1" s="5" t="inlineStr">
        <is>
          <t>Area</t>
        </is>
      </c>
      <c r="H1" s="5" t="inlineStr">
        <is>
          <t>Phase</t>
        </is>
      </c>
      <c r="I1" s="5" t="inlineStr">
        <is>
          <t>Environment</t>
        </is>
      </c>
      <c r="J1" s="5" t="inlineStr">
        <is>
          <t>Steps to Reproduce</t>
        </is>
      </c>
      <c r="K1" s="5" t="inlineStr">
        <is>
          <t>Expected Result</t>
        </is>
      </c>
      <c r="L1" s="5" t="inlineStr">
        <is>
          <t>Impact</t>
        </is>
      </c>
      <c r="M1" s="5" t="inlineStr">
        <is>
          <t>Actual Result</t>
        </is>
      </c>
      <c r="N1" s="5" t="inlineStr">
        <is>
          <t>Attachment / Screenshot Reference</t>
        </is>
      </c>
      <c r="O1" s="5" t="inlineStr">
        <is>
          <t>Suggested Fix</t>
        </is>
      </c>
      <c r="P1" s="5" t="inlineStr">
        <is>
          <t>How Verified</t>
        </is>
      </c>
      <c r="Q1" s="5" t="inlineStr">
        <is>
          <t>Date Reported</t>
        </is>
      </c>
      <c r="R1" s="5" t="inlineStr">
        <is>
          <t>Status</t>
        </is>
      </c>
      <c r="S1" s="5" t="inlineStr">
        <is>
          <t>Assigned To</t>
        </is>
      </c>
      <c r="T1" s="5" t="inlineStr">
        <is>
          <t>Target Fix Date</t>
        </is>
      </c>
      <c r="U1" s="5" t="inlineStr">
        <is>
          <t>Previous Day Status</t>
        </is>
      </c>
      <c r="V1" s="5" t="inlineStr">
        <is>
          <t>Today's Status</t>
        </is>
      </c>
      <c r="W1" s="5" t="inlineStr">
        <is>
          <t>Re-check Command</t>
        </is>
      </c>
    </row>
    <row r="2">
      <c r="A2" s="6" t="inlineStr">
        <is>
          <t>WC-048</t>
        </is>
      </c>
      <c r="B2" s="7" t="inlineStr">
        <is>
          <t>Youth counselling records disclosed to a persona with no permission for those centres</t>
        </is>
      </c>
      <c r="C2" s="8" t="inlineStr">
        <is>
          <t>S1 Blocker</t>
        </is>
      </c>
      <c r="D2" s="7" t="inlineStr">
        <is>
          <t>P1</t>
        </is>
      </c>
      <c r="E2" s="7" t="inlineStr">
        <is>
          <t>Outreach Coordinator (reads Facilitator and Counsellor data)</t>
        </is>
      </c>
      <c r="F2" s="7" t="inlineStr">
        <is>
          <t>no screen reaches this; see Steps</t>
        </is>
      </c>
      <c r="G2" s="7" t="inlineStr">
        <is>
          <t>Authorisation</t>
        </is>
      </c>
      <c r="H2" s="7" t="inlineStr">
        <is>
          <t>Phase 1</t>
        </is>
      </c>
      <c r="I2" s="7" t="inlineStr">
        <is>
          <t>UAT / dev (read-only)</t>
        </is>
      </c>
      <c r="J2" s="7" t="inlineStr">
        <is>
          <t>1. Sign in as the Outreach Coordinator (kak713.oc@lighthouseconnect.org).
2. Note permitted_centres in the login response — this account is permitted for two centres.
3. With that session, call facilitator_and_counsellor.api.counselling.list.get_counselling_list.
 There is no Outreach Coordinator screen for this; use the browser console on any OC page:
 fetch('/api/method/facilitator_and_counsellor.api.counselling.list.get_counselling_list')
 .then(r=&gt;r.json()).then(d=&gt;console.table(d.message?.data ?? d.message))
4. Compare counselling_location on every returned record against the two permitted centres.
5. All ten records belong to centres this account is not permitted for.</t>
        </is>
      </c>
      <c r="K2" s="7" t="inlineStr">
        <is>
          <t>The call is refused for a centre the account has no permission over. No record is returned and no record is changed.</t>
        </is>
      </c>
      <c r="L2" s="7" t="inlineStr">
        <is>
          <t>a staff account attached to two centres can read counselling records — including names and session notes — for youth at centres it has no authority over. For a safeguarding-sensitive programme this is a data-protection matter, not only a defect.</t>
        </is>
      </c>
      <c r="M2" s="7" t="inlineStr">
        <is>
          <t>HTTP 200. 10 of 10 records returned were wholly outside OC's permitted centres — OC is permitted for 2 centres and received none of them. The records carry: youth, youth_name, youth_stage, counselling_type, counselling_subtype, counselling_date, counselling_location, remarks, last_call_remarks, status, interested_course, batch.</t>
        </is>
      </c>
      <c r="N2" s="7" t="inlineStr">
        <is>
          <t>evidence/state-boundary-results.json · suite/probes/rbac-write-probe.mjs · re-check: node verify/run.mjs --only WC-048 · findings/findings-log.md -&gt; WC-048</t>
        </is>
      </c>
      <c r="O2" s="7" t="inlineStr">
        <is>
          <t>Single edit, then the dependency.
FILE facilitator_and_counsellor/api/counselling/list.py, line 103
NOW if 'System Manager' in frappe.get_roles(user):
 # Bypass RBAC for System Managers
 pass
 else:
 &lt;the correct centre filter, already written and already correct&gt;
CHANGE Delete the if branch and run the else body unconditionally. The filter beneath it is sound;
 it simply never executes, because every staff account holds System Manager.
DEPENDS ON WC-073. Until each role carries real doctype permissions, removing System Manager from
 staff accounts locks them out — so fix this handler first, then the role model.
Not the fix: the originally recorded remedy, 'apply permitted_centres as a server-side filter',
 would change nothing. That filter is already present.</t>
        </is>
      </c>
      <c r="P2" s="7" t="inlineStr">
        <is>
          <t>Verified</t>
        </is>
      </c>
      <c r="Q2" s="7" t="inlineStr">
        <is>
          <t>2026-09-19</t>
        </is>
      </c>
      <c r="R2" s="9" t="inlineStr">
        <is>
          <t>Open</t>
        </is>
      </c>
      <c r="S2" s="9" t="inlineStr"/>
      <c r="T2" s="9" t="inlineStr"/>
      <c r="U2" s="9" t="inlineStr">
        <is>
          <t>Open — re-checked 2026-09-25, still present</t>
        </is>
      </c>
      <c r="V2" s="9" t="inlineStr">
        <is>
          <t>Runtime re-confirm in progress on isolated stack (2026-10-20)</t>
        </is>
      </c>
      <c r="W2" s="7" t="inlineStr">
        <is>
          <t>node verify/run.mjs --only WC-048</t>
        </is>
      </c>
    </row>
    <row r="3">
      <c r="A3" s="6" t="inlineStr">
        <is>
          <t>WC-084</t>
        </is>
      </c>
      <c r="B3" s="7" t="inlineStr">
        <is>
          <t>An account can close another centre's batch, with no permission for that centre</t>
        </is>
      </c>
      <c r="C3" s="8" t="inlineStr">
        <is>
          <t>S1 Blocker</t>
        </is>
      </c>
      <c r="D3" s="7" t="inlineStr">
        <is>
          <t>P1</t>
        </is>
      </c>
      <c r="E3" s="7" t="inlineStr">
        <is>
          <t>Skilling Partner (acts on another centre's batch)</t>
        </is>
      </c>
      <c r="F3" s="7" t="inlineStr">
        <is>
          <t>no screen reaches this; see Steps</t>
        </is>
      </c>
      <c r="G3" s="7" t="inlineStr">
        <is>
          <t>Authorisation</t>
        </is>
      </c>
      <c r="H3" s="7" t="inlineStr">
        <is>
          <t>Phase 2</t>
        </is>
      </c>
      <c r="I3" s="7" t="inlineStr">
        <is>
          <t>Isolated stack (synthetic data)</t>
        </is>
      </c>
      <c r="J3" s="7" t="inlineStr">
        <is>
          <t>Destructive — run on an isolated copy, not on UAT.
1. Create a Skilling Batch owned by centre A.
2. Sign in as a Skilling Partner permitted for centres B and C only.
3. Call youth_skilling.api.batch_management.close_batch with that batch's id.
4. The response reports success. Read batch_status from the database: it is now Closed.</t>
        </is>
      </c>
      <c r="K3" s="7" t="inlineStr">
        <is>
          <t>The call is refused for a centre the account has no permission over. No record is returned and no record is changed.</t>
        </is>
      </c>
      <c r="L3" s="7" t="inlineStr">
        <is>
          <t>See the register entry for impact.</t>
        </is>
      </c>
      <c r="M3" s="7" t="inlineStr">
        <is>
          <t>A Skilling Batch was created owned by QA North Centre. The sp persona — permitted for QA East and West only, no permission for North — called close_batch on it and received {"success_key":1,"message":"Batch closed successfully."}. Ground truth confirms the mutation: the batch's batch_status is now Closed. A user closed a batch belonging to a centre they have no permission over.</t>
        </is>
      </c>
      <c r="N3" s="7" t="inlineStr">
        <is>
          <t>reproductions/s1-batch-close.mjs · evidence/state-boundary-results.json · suite/probes/rbac-write-probe.mjs · re-check: node verify/run.mjs --only WC-084 · findings/findings-log.md -&gt; WC-084</t>
        </is>
      </c>
      <c r="O3" s="7" t="inlineStr">
        <is>
          <t>check location_lcf against the caller's permitted_centres before closing, and remove ignore_permissions=True from the save. The same fix pattern applies across the class.</t>
        </is>
      </c>
      <c r="P3" s="7" t="inlineStr">
        <is>
          <t>Verified — runtime, end-to-end breach</t>
        </is>
      </c>
      <c r="Q3" s="7" t="inlineStr"/>
      <c r="R3" s="9" t="inlineStr">
        <is>
          <t>Open</t>
        </is>
      </c>
      <c r="S3" s="9" t="inlineStr"/>
      <c r="T3" s="9" t="inlineStr"/>
      <c r="U3" s="9" t="inlineStr">
        <is>
          <t>Open — re-checked 2026-09-25, still present</t>
        </is>
      </c>
      <c r="V3" s="9" t="inlineStr">
        <is>
          <t>Still present — RUNTIME CONFIRMED 2026-10-20: East/West account closed a North batch ('Batch closed successfully'); no centre check in close_batch</t>
        </is>
      </c>
      <c r="W3" s="7" t="inlineStr">
        <is>
          <t>node verify/run.mjs --only WC-084</t>
        </is>
      </c>
    </row>
    <row r="4">
      <c r="A4" s="6" t="inlineStr">
        <is>
          <t>WC-095</t>
        </is>
      </c>
      <c r="B4" s="7" t="inlineStr">
        <is>
          <t>An account can raise another centre's financial invoice, with no permission for that centre</t>
        </is>
      </c>
      <c r="C4" s="8" t="inlineStr">
        <is>
          <t>S1 Blocker</t>
        </is>
      </c>
      <c r="D4" s="7" t="inlineStr">
        <is>
          <t>P1</t>
        </is>
      </c>
      <c r="E4" s="7" t="inlineStr">
        <is>
          <t>Skilling Partner (acts on another centre's invoice)</t>
        </is>
      </c>
      <c r="F4" s="7" t="inlineStr">
        <is>
          <t>no screen reaches this; see Steps</t>
        </is>
      </c>
      <c r="G4" s="7" t="inlineStr">
        <is>
          <t>Authorisation</t>
        </is>
      </c>
      <c r="H4" s="7" t="inlineStr">
        <is>
          <t>Phase 2</t>
        </is>
      </c>
      <c r="I4" s="7" t="inlineStr">
        <is>
          <t>Isolated stack (synthetic data)</t>
        </is>
      </c>
      <c r="J4" s="7" t="inlineStr">
        <is>
          <t>Destructive — run on an isolated copy, not on UAT.
1. Create a Skilling Invoice for centre A.
2. Sign in as a Skilling Partner permitted for centres B and C only.
3. Call youth_skilling.api.invoice.raise_invoice with that invoice's id and centre A.
4. The response reports success. Read the invoice from the database: current_status is Raised and
 approval_status is Verification Pending — it has entered the financial approval pipeline.</t>
        </is>
      </c>
      <c r="K4" s="7" t="inlineStr">
        <is>
          <t>The call is refused for a centre the account has no permission over. No record is returned and no record is changed.</t>
        </is>
      </c>
      <c r="L4" s="7" t="inlineStr">
        <is>
          <t>See the register entry for impact.</t>
        </is>
      </c>
      <c r="M4" s="7" t="inlineStr">
        <is>
          <t>A Skilling Invoice was created for QA North Centre. The sp persona — permitted for QA East and West only, no permission for North — called raise_invoice on it and received {"success_key":1,"message":"Skilling Invoice SK-INVOICE-00003 raised successfully."}. Ground truth confirms the mutation: the invoice's current_status is now Raised and its approval_status is Verification Pending — it has entered the financial approval pipeline, moved there by a user with no permission over its centre. - prepare_tax_invoice is breached the same way — the same persona retrieved the North invoice's full tax-preparation details (success_key:1, invoice metadata returned), a financial data exposure across the boundary in addition to the write.</t>
        </is>
      </c>
      <c r="N4" s="7" t="inlineStr">
        <is>
          <t>reproductions/s1-invoice-raise.mjs · evidence/state-boundary-results.json · suite/probes/rbac-write-probe.mjs · re-check: node verify/run.mjs --only WC-095 · findings/findings-log.md -&gt; WC-095</t>
        </is>
      </c>
      <c r="O4" s="7" t="inlineStr">
        <is>
          <t>derive center from the caller's permitted scope; do not accept it as a parameter; remove ignore_permissions=True. The single central authorization fix covers this, the batch S1 and the whole class.</t>
        </is>
      </c>
      <c r="P4" s="7" t="inlineStr">
        <is>
          <t>Verified — runtime, end-to-end breach</t>
        </is>
      </c>
      <c r="Q4" s="7" t="inlineStr"/>
      <c r="R4" s="9" t="inlineStr">
        <is>
          <t>Open</t>
        </is>
      </c>
      <c r="S4" s="9" t="inlineStr"/>
      <c r="T4" s="9" t="inlineStr"/>
      <c r="U4" s="9" t="inlineStr">
        <is>
          <t>Open — re-checked 2026-09-25, still present</t>
        </is>
      </c>
      <c r="V4" s="9" t="inlineStr">
        <is>
          <t>Fixed for non-System-Manager accounts — RUNTIME CONFIRMED 2026-10-20: non-SM East/West account raising a North invoice refused with HTTP 403; breaches only for System Manager accounts (live accounts are non-SM)</t>
        </is>
      </c>
      <c r="W4" s="7" t="inlineStr">
        <is>
          <t>node verify/run.mjs --only WC-095</t>
        </is>
      </c>
    </row>
    <row r="5">
      <c r="A5" s="6" t="inlineStr">
        <is>
          <t>WC-003</t>
        </is>
      </c>
      <c r="B5" s="7" t="inlineStr">
        <is>
          <t>Real program PII present in UAT</t>
        </is>
      </c>
      <c r="C5" s="10" t="inlineStr">
        <is>
          <t>S2 Critical</t>
        </is>
      </c>
      <c r="D5" s="7" t="inlineStr">
        <is>
          <t>P1</t>
        </is>
      </c>
      <c r="E5" s="7" t="inlineStr">
        <is>
          <t>All personas / not role-specific</t>
        </is>
      </c>
      <c r="F5" s="7" t="inlineStr">
        <is>
          <t>no screen reaches this; see Steps</t>
        </is>
      </c>
      <c r="G5" s="7" t="inlineStr">
        <is>
          <t>Data protection</t>
        </is>
      </c>
      <c r="H5" s="7" t="inlineStr">
        <is>
          <t>Phase 1</t>
        </is>
      </c>
      <c r="I5" s="7" t="inlineStr">
        <is>
          <t>Isolated stack (synthetic data)</t>
        </is>
      </c>
      <c r="J5" s="7" t="inlineStr">
        <is>
          <t>1. Sign in as an authenticated staff account and note the permitted_centres in the login response.
2. Call FC dashboard, Batches list.
3. Compare the centre on every returned record against that permitted list.</t>
        </is>
      </c>
      <c r="K5" s="7" t="inlineStr">
        <is>
          <t>Only data the account is permitted to see is returned, and lower environments hold no real programme data.</t>
        </is>
      </c>
      <c r="L5" s="7" t="inlineStr">
        <is>
          <t>minors' program data in a test environment used for automated testing. Data-protection concern; also means destructive test actions could corrupt real records. Confirm with client whether UAT data is synthetic or production copy.</t>
        </is>
      </c>
      <c r="M5" s="7" t="inlineStr">
        <is>
          <t>real batch codes, youth counts, real locations (Bhawani Peth, Pune)</t>
        </is>
      </c>
      <c r="N5" s="7" t="inlineStr">
        <is>
          <t>evidence/data-shape.json · evidence/gate-probe-results.json · re-check: node verify/run.mjs --only WC-003 · findings/findings-log.md -&gt; WC-003</t>
        </is>
      </c>
      <c r="O5" s="7" t="inlineStr">
        <is>
          <t>See register.</t>
        </is>
      </c>
      <c r="P5" s="7" t="inlineStr">
        <is>
          <t>Verified — observed at first contact</t>
        </is>
      </c>
      <c r="Q5" s="7" t="inlineStr"/>
      <c r="R5" s="9" t="inlineStr">
        <is>
          <t>Open</t>
        </is>
      </c>
      <c r="S5" s="9" t="inlineStr"/>
      <c r="T5" s="9" t="inlineStr"/>
      <c r="U5" s="9" t="inlineStr">
        <is>
          <t>Open — re-checked 2026-09-25, still present</t>
        </is>
      </c>
      <c r="V5" s="9" t="inlineStr">
        <is>
          <t>Open — awaiting fix</t>
        </is>
      </c>
      <c r="W5" s="7" t="inlineStr">
        <is>
          <t>node verify/run.mjs --only WC-003</t>
        </is>
      </c>
    </row>
    <row r="6">
      <c r="A6" s="6" t="inlineStr">
        <is>
          <t>WC-023</t>
        </is>
      </c>
      <c r="B6" s="7" t="inlineStr">
        <is>
          <t>Server stack traces returned in the standard API error envelope</t>
        </is>
      </c>
      <c r="C6" s="10" t="inlineStr">
        <is>
          <t>S2 Critical</t>
        </is>
      </c>
      <c r="D6" s="7" t="inlineStr">
        <is>
          <t>P1</t>
        </is>
      </c>
      <c r="E6" s="7" t="inlineStr">
        <is>
          <t>no account required (unauthenticated)</t>
        </is>
      </c>
      <c r="F6" s="7" t="inlineStr">
        <is>
          <t>/sp/screening-schedule</t>
        </is>
      </c>
      <c r="G6" s="7" t="inlineStr">
        <is>
          <t>Error handling</t>
        </is>
      </c>
      <c r="H6" s="7" t="inlineStr">
        <is>
          <t>Phase 1</t>
        </is>
      </c>
      <c r="I6" s="7" t="inlineStr">
        <is>
          <t>Source review</t>
        </is>
      </c>
      <c r="J6" s="7" t="inlineStr">
        <is>
          <t>1. No sign-in needed.
2. Trigger any API error — for example call an endpoint without a credential, or with an unknown identifier.
3. Read the response body and look for an exc field carrying a Python traceback and server filesystem paths.
4. Fastest route: node verify/run.mjs --only WC-023</t>
        </is>
      </c>
      <c r="K6" s="7" t="inlineStr">
        <is>
          <t>A 4xx response with a message the caller can act on. No stack trace and no HTTP 500.</t>
        </is>
      </c>
      <c r="L6" s="7" t="inlineStr">
        <is>
          <t>See the register entry for impact.</t>
        </is>
      </c>
      <c r="M6" s="7" t="inlineStr">
        <is>
          <t>HTTP 500 with a JSON body (1,705 chars) containing exception, exc_type, _exc_source, exc. The exc field carries a full Python traceback including server filesystem paths. exc_type is NameError.</t>
        </is>
      </c>
      <c r="N6" s="7" t="inlineStr">
        <is>
          <t>evidence/validation-probe-results.json · suite/probes/validation-probe.mjs · re-check: node verify/run.mjs --only WC-023 · findings/findings-log.md -&gt; WC-023</t>
        </is>
      </c>
      <c r="O6" s="7" t="inlineStr">
        <is>
          <t>disable client-facing traceback rendering in the deployed site config, and return 403 from this endpoint for roles without screening access. Then fix the NameError.</t>
        </is>
      </c>
      <c r="P6" s="7" t="inlineStr">
        <is>
          <t>Verified — escalated 2026-09-19</t>
        </is>
      </c>
      <c r="Q6" s="7" t="inlineStr">
        <is>
          <t>2026-09-19</t>
        </is>
      </c>
      <c r="R6" s="9" t="inlineStr">
        <is>
          <t>Open</t>
        </is>
      </c>
      <c r="S6" s="9" t="inlineStr"/>
      <c r="T6" s="9" t="inlineStr"/>
      <c r="U6" s="9" t="inlineStr">
        <is>
          <t>Open — re-checked 2026-09-25, still present</t>
        </is>
      </c>
      <c r="V6" s="9" t="inlineStr">
        <is>
          <t>Still present on api-dev — Python traceback in error body</t>
        </is>
      </c>
      <c r="W6" s="7" t="inlineStr">
        <is>
          <t>node verify/run.mjs --only WC-023</t>
        </is>
      </c>
    </row>
    <row r="7">
      <c r="A7" s="6" t="inlineStr">
        <is>
          <t>WC-035</t>
        </is>
      </c>
      <c r="B7" s="7" t="inlineStr">
        <is>
          <t>Personas receive records belonging entirely to centres they are not permitted for</t>
        </is>
      </c>
      <c r="C7" s="10" t="inlineStr">
        <is>
          <t>S2 Critical</t>
        </is>
      </c>
      <c r="D7" s="7" t="inlineStr">
        <is>
          <t>P1</t>
        </is>
      </c>
      <c r="E7" s="7" t="inlineStr">
        <is>
          <t>Skilling Partner / Skilling Manager</t>
        </is>
      </c>
      <c r="F7" s="7" t="inlineStr">
        <is>
          <t>/sm/batch-management, /sm/budget, /sm/discontinued-skilling-tables, /sp/approvals, /sp/follow-ups, /sp/screening-schedul</t>
        </is>
      </c>
      <c r="G7" s="7" t="inlineStr">
        <is>
          <t>Input validation</t>
        </is>
      </c>
      <c r="H7" s="7" t="inlineStr">
        <is>
          <t>Phase 1</t>
        </is>
      </c>
      <c r="I7" s="7" t="inlineStr">
        <is>
          <t>UAT / dev (read-only)</t>
        </is>
      </c>
      <c r="J7" s="7" t="inlineStr">
        <is>
          <t>1. Sign in as Centre Head.
2. Submit youth_skilling.api.approval.approval_list with a value that is impossible rather than merely malformed — a negative age, a future date of birth, a capacity floor above its ceiling.
3. Read the record back and check whether the value was stored.</t>
        </is>
      </c>
      <c r="K7" s="7" t="inlineStr">
        <is>
          <t>The value is rejected with HTTP 400 and a message naming the field, and nothing is stored.</t>
        </is>
      </c>
      <c r="L7" s="7" t="inlineStr">
        <is>
          <t>the platform publishes each account's permitted_centres at login and then serves data outside it. The approvals case is the most serious: every record returned to SP belonged to centres outside its permission scope, and approval records carry workflow detail including location and transfer_to_center. The dashboard case discloses operational status of other centres. This is the system contradicting its own declared permission model.</t>
        </is>
      </c>
      <c r="M7" s="7" t="inlineStr">
        <is>
          <t>Supersedes the retracted clean result above. Found only after the scope checker was corrected to inspect the data envelope rather than the status string in message. Test used: a record counts as an unambiguous violation only when it carries no centre the caller is permitted for. A record spanning several centres, one of which the caller owns, is excluded as arguable. Reproduced across every recorded query variant.</t>
        </is>
      </c>
      <c r="N7" s="7" t="inlineStr">
        <is>
          <t>evidence/validation-probe-results.json · suite/probes/boundary_probe.py · re-check: node verify/run.mjs --only WC-035 · findings/findings-log.md -&gt; WC-035</t>
        </is>
      </c>
      <c r="O7" s="7" t="inlineStr">
        <is>
          <t>1. For approval_list and get_waiting_for_skilling_count: remove the System Manager early-return from the scope resolvers, and fix the permission model so the role is not required (see the 45-site finding). Adding a filter would change nothing. The filter exists. 2. For get_approvals: confirm with the client whether the live account's User Permission rows matched its published permitted_centres at the time of observation, which would settle the dual-mechanism question. 3. Note that dashboard.get_invoice_count applies no scoping at all — frappe.db.count("Skilling Invoice", {...}) with no centre filter — recorded separately.</t>
        </is>
      </c>
      <c r="P7" s="7" t="inlineStr">
        <is>
          <t>Verified</t>
        </is>
      </c>
      <c r="Q7" s="7" t="inlineStr"/>
      <c r="R7" s="9" t="inlineStr">
        <is>
          <t>Open</t>
        </is>
      </c>
      <c r="S7" s="9" t="inlineStr"/>
      <c r="T7" s="9" t="inlineStr"/>
      <c r="U7" s="9" t="inlineStr">
        <is>
          <t>Open — re-checked 2026-09-25, still present</t>
        </is>
      </c>
      <c r="V7" s="9" t="inlineStr">
        <is>
          <t>Runtime re-confirm in progress on isolated stack (2026-10-20)</t>
        </is>
      </c>
      <c r="W7" s="7" t="inlineStr">
        <is>
          <t>node verify/run.mjs --only WC-035</t>
        </is>
      </c>
    </row>
    <row r="8">
      <c r="A8" s="6" t="inlineStr">
        <is>
          <t>WC-038</t>
        </is>
      </c>
      <c r="B8" s="7" t="inlineStr">
        <is>
          <t>Opening the invoice screen attempts to create a tax invoice, with no user action</t>
        </is>
      </c>
      <c r="C8" s="10" t="inlineStr">
        <is>
          <t>S2 Critical</t>
        </is>
      </c>
      <c r="D8" s="7" t="inlineStr">
        <is>
          <t>P1</t>
        </is>
      </c>
      <c r="E8" s="7" t="inlineStr">
        <is>
          <t>Skilling Manager, Skilling Partner</t>
        </is>
      </c>
      <c r="F8" s="7" t="inlineStr">
        <is>
          <t>no screen reaches this; see Steps</t>
        </is>
      </c>
      <c r="G8" s="7" t="inlineStr">
        <is>
          <t>Transactional integrity</t>
        </is>
      </c>
      <c r="H8" s="7" t="inlineStr">
        <is>
          <t>Phase 1</t>
        </is>
      </c>
      <c r="I8" s="7" t="inlineStr">
        <is>
          <t>UAT / dev (read-only)</t>
        </is>
      </c>
      <c r="J8" s="7" t="inlineStr">
        <is>
          <t>1. Sign in as Skilling Partner.
2. Call /sp/invoicing/view-batch-invoice/prepare-invoice/:batchId/:installment/:centerName and the equivalent /sm/invoicing-management/... route once and note the resulting record.
3. Call it again with exactly the same payload.
4. Check whether a second record or a second effect appeared.</t>
        </is>
      </c>
      <c r="K8" s="7" t="inlineStr">
        <is>
          <t>Repeating the same call does not repeat its effect.</t>
        </is>
      </c>
      <c r="L8" s="7" t="inlineStr">
        <is>
          <t>navigation changes state. A GET-style page visit triggers a write against a finance workflow, which means: - refreshing, bookmarking, sharing the link or pressing back re-fires invoice preparation; - any user who merely *opens* the screen to look at it performs a financial action; - the operation is not idempotent by URL, so duplicate or incorrect invoices are plausible.</t>
        </is>
      </c>
      <c r="M8" s="7" t="inlineStr">
        <is>
          <t>on page load, with no interaction whatsoever, the application issues POST .../youth_skilling.api.invoice.prepare_tax_invoice?batch_id=&lt;batch&gt;&amp;installment=1&amp;center=&lt;centre&gt;. Reproduced on both the Skilling Partner and Skilling Manager applications.</t>
        </is>
      </c>
      <c r="N8" s="7" t="inlineStr">
        <is>
          <t>evidence/idempotency-results.json · suite/probes/idempotency-probe.mjs · re-check: node verify/run.mjs --only WC-038 · findings/findings-log.md -&gt; WC-038</t>
        </is>
      </c>
      <c r="O8" s="7" t="inlineStr">
        <is>
          <t>the screen should load its data with a GET and perform invoice preparation only on explicit user confirmation.</t>
        </is>
      </c>
      <c r="P8" s="7" t="inlineStr">
        <is>
          <t>Verified</t>
        </is>
      </c>
      <c r="Q8" s="7" t="inlineStr"/>
      <c r="R8" s="9" t="inlineStr">
        <is>
          <t>Open</t>
        </is>
      </c>
      <c r="S8" s="9" t="inlineStr"/>
      <c r="T8" s="9" t="inlineStr"/>
      <c r="U8" s="9" t="inlineStr">
        <is>
          <t>Open — re-checked 2026-09-25, still present</t>
        </is>
      </c>
      <c r="V8" s="9" t="inlineStr">
        <is>
          <t>Open — awaiting fix</t>
        </is>
      </c>
      <c r="W8" s="7" t="inlineStr">
        <is>
          <t>node verify/run.mjs --only WC-038</t>
        </is>
      </c>
    </row>
    <row r="9">
      <c r="A9" s="6" t="inlineStr">
        <is>
          <t>WC-043</t>
        </is>
      </c>
      <c r="B9" s="7" t="inlineStr">
        <is>
          <t>Blank routes are crashing on null navigation state</t>
        </is>
      </c>
      <c r="C9" s="10" t="inlineStr">
        <is>
          <t>S2 Critical</t>
        </is>
      </c>
      <c r="D9" s="7" t="inlineStr">
        <is>
          <t>P1</t>
        </is>
      </c>
      <c r="E9" s="7" t="inlineStr">
        <is>
          <t>Facilitator and Counsellor</t>
        </is>
      </c>
      <c r="F9" s="7" t="inlineStr">
        <is>
          <t>no screen reaches this; see Steps</t>
        </is>
      </c>
      <c r="G9" s="7" t="inlineStr">
        <is>
          <t>Error handling</t>
        </is>
      </c>
      <c r="H9" s="7" t="inlineStr">
        <is>
          <t>Phase 1</t>
        </is>
      </c>
      <c r="I9" s="7" t="inlineStr">
        <is>
          <t>UAT / dev (read-only)</t>
        </is>
      </c>
      <c r="J9" s="7" t="inlineStr">
        <is>
          <t>1. Sign in as Facilitator and Counsellor.
2. Paste /fc/badge-table into the address bar and load it directly, rather than navigating to it inside the app.
3. The screen renders blank. Open the browser console and read the exception, which names the property read from a null navigation state.
4. Repeat from inside the app by clicking through to the same screen; it renders.</t>
        </is>
      </c>
      <c r="K9" s="7" t="inlineStr">
        <is>
          <t>A 4xx response with a message the caller can act on. No stack trace and no HTTP 500.</t>
        </is>
      </c>
      <c r="L9" s="7" t="inlineStr">
        <is>
          <t>See the register entry for impact.</t>
        </is>
      </c>
      <c r="M9" s="7" t="inlineStr">
        <is>
          <t>the full sweep captures uncaught JavaScript exceptions. Five routes throw:; Persona; Route; Exception; FC; /fc/badge-table; Cannot read properties of null (reading 'viewType'); FC; /fc/batch-management/view-batch; Cannot read properties of null (reading 'batchId'); FC; /fc/view-post-test; Cannot read properties of null (reading 'batch_id'); FC; /fc/group-based-counselling/attendance; Cannot read properties of null (reading 'length'); SYC; /group-based-counselling/attendance; Cannot read properties of null (reading 'length')</t>
        </is>
      </c>
      <c r="N9" s="7" t="inlineStr">
        <is>
          <t>test-results-run1/sweep-route-sweep--fc-rout-c69cf--fc-badge-table-BadgeTable--fc-retry1/test-failed-1.png · test-results-run1/sweep-route-sweep--fc-rout-4948a-ement-view-batch-ViewBatch--fc/test-failed-1.png · test-results-run1/sweep-route-sweep--fc-rout-857ce-iew-post-test-ViewPostTest--fc/test-fa · evidence/validation-probe-results.json · suite/probes/validation-probe.mjs … (full detail in the findings register)</t>
        </is>
      </c>
      <c r="O9" s="7" t="inlineStr">
        <is>
          <t>read identifiers from URL parameters rather than router state, and guard the state access (location.state?.batchId). The identifier is already in the URL for the :batchId routes, so the data needed is present. It is simply not being read from there.</t>
        </is>
      </c>
      <c r="P9" s="7" t="inlineStr">
        <is>
          <t>Verified — root cause, corrects an earlier classification</t>
        </is>
      </c>
      <c r="Q9" s="7" t="inlineStr"/>
      <c r="R9" s="9" t="inlineStr">
        <is>
          <t>Open</t>
        </is>
      </c>
      <c r="S9" s="9" t="inlineStr"/>
      <c r="T9" s="9" t="inlineStr"/>
      <c r="U9" s="9" t="inlineStr">
        <is>
          <t>Open — re-checked 2026-09-25, still present</t>
        </is>
      </c>
      <c r="V9" s="9" t="inlineStr">
        <is>
          <t>Open — awaiting fix</t>
        </is>
      </c>
      <c r="W9" s="7" t="inlineStr">
        <is>
          <t>node verify/run.mjs --only WC-043</t>
        </is>
      </c>
    </row>
    <row r="10">
      <c r="A10" s="6" t="inlineStr">
        <is>
          <t>WC-068</t>
        </is>
      </c>
      <c r="B10" s="7" t="inlineStr">
        <is>
          <t>The complete API specification is published to unauthenticated callers</t>
        </is>
      </c>
      <c r="C10" s="10" t="inlineStr">
        <is>
          <t>S2 Critical</t>
        </is>
      </c>
      <c r="D10" s="7" t="inlineStr">
        <is>
          <t>P1</t>
        </is>
      </c>
      <c r="E10" s="7" t="inlineStr">
        <is>
          <t>no account required (unauthenticated)</t>
        </is>
      </c>
      <c r="F10" s="7" t="inlineStr">
        <is>
          <t>no screen reaches this; see Steps</t>
        </is>
      </c>
      <c r="G10" s="7" t="inlineStr">
        <is>
          <t>Authorisation</t>
        </is>
      </c>
      <c r="H10" s="7" t="inlineStr">
        <is>
          <t>Phase 2</t>
        </is>
      </c>
      <c r="I10" s="7" t="inlineStr">
        <is>
          <t>UAT / dev (read-only)</t>
        </is>
      </c>
      <c r="J10" s="7" t="inlineStr">
        <is>
          <t>1. Sign in as an authenticated staff account — any authenticated account is enough.
2. Call youth_skilling.api.docs.swagger_spec with no special privileges.
3. Observe that the call is accepted rather than refused, and check whether anything changed.</t>
        </is>
      </c>
      <c r="K10" s="7" t="inlineStr">
        <is>
          <t>The endpoint checks the caller's authorisation before acting, and refuses the call when the caller is not permitted.</t>
        </is>
      </c>
      <c r="L10" s="7" t="inlineStr">
        <is>
          <t>See the register entry for impact.</t>
        </is>
      </c>
      <c r="M10" s="7" t="inlineStr">
        <is>
          <t>GET {BACKEND}/api/method/youth_skilling.api.docs.swagger_spec with no Authorization header returns HTTP 200 and the full specification.</t>
        </is>
      </c>
      <c r="N10" s="7" t="inlineStr">
        <is>
          <t>evidence/gate-probe-results.json · evidence/bypass-endpoints.json · suite/probes/gate-probe.mjs · re-check: node verify/run.mjs --only WC-068 · findings/findings-log.md -&gt; WC-068</t>
        </is>
      </c>
      <c r="O10" s="7" t="inlineStr">
        <is>
          <t>remove allow_guest=True from the three swagger_spec functions. The specifications remain available to authenticated staff, which is presumably the intent. This is a one-word change in three places.</t>
        </is>
      </c>
      <c r="P10" s="7" t="inlineStr">
        <is>
          <t>Verified</t>
        </is>
      </c>
      <c r="Q10" s="7" t="inlineStr"/>
      <c r="R10" s="9" t="inlineStr">
        <is>
          <t>Open</t>
        </is>
      </c>
      <c r="S10" s="9" t="inlineStr"/>
      <c r="T10" s="9" t="inlineStr"/>
      <c r="U10" s="9" t="inlineStr">
        <is>
          <t>Open — re-checked 2026-09-25, still present</t>
        </is>
      </c>
      <c r="V10" s="9" t="inlineStr">
        <is>
          <t>Partially fixed — youth_skilling specs now require auth; batch_management swagger_spec still public</t>
        </is>
      </c>
      <c r="W10" s="7" t="inlineStr">
        <is>
          <t>node verify/run.mjs --only WC-068</t>
        </is>
      </c>
    </row>
    <row r="11">
      <c r="A11" s="6" t="inlineStr">
        <is>
          <t>WC-073</t>
        </is>
      </c>
      <c r="B11" s="7" t="inlineStr">
        <is>
          <t>The platform's permission design forces over-privileged accounts or bypasses permissions entirely</t>
        </is>
      </c>
      <c r="C11" s="10" t="inlineStr">
        <is>
          <t>S2 Critical</t>
        </is>
      </c>
      <c r="D11" s="7" t="inlineStr">
        <is>
          <t>P1</t>
        </is>
      </c>
      <c r="E11" s="7" t="inlineStr">
        <is>
          <t>Outreach Coordinator, Centre Head, Facilitator and Counsellor, Skilling Partner</t>
        </is>
      </c>
      <c r="F11" s="7" t="inlineStr">
        <is>
          <t>/oc/tasks, /ch/ch-tasks, /ch/individual-target, /ch/staff-monitoring, /fc/tasks, /sp/tasks</t>
        </is>
      </c>
      <c r="G11" s="7" t="inlineStr">
        <is>
          <t>Authorisation</t>
        </is>
      </c>
      <c r="H11" s="7" t="inlineStr">
        <is>
          <t>Phase 2</t>
        </is>
      </c>
      <c r="I11" s="7" t="inlineStr">
        <is>
          <t>UAT / dev (read-only)</t>
        </is>
      </c>
      <c r="J11" s="7" t="inlineStr">
        <is>
          <t>1. Sign in as an authenticated staff account — any authenticated account is enough.
2. Call outreach.apis.task.task.create_task with no special privileges.
3. Observe that the call is accepted rather than refused, and check whether anything changed.</t>
        </is>
      </c>
      <c r="K11" s="7" t="inlineStr">
        <is>
          <t>The endpoint checks the caller's authorisation before acting, and refuses the call when the caller is not permitted.</t>
        </is>
      </c>
      <c r="L11" s="7" t="inlineStr">
        <is>
          <t>See the register entry for impact.</t>
        </is>
      </c>
      <c r="M11" s="7" t="inlineStr">
        <is>
          <t>Fact; Value; WeConnect doctypes; 293; granting only System Manager; 178; granting no role at all; 115; granting any other role; 0; API endpoints passing ignore_permissions=True; 296 of 866.</t>
        </is>
      </c>
      <c r="N11" s="7" t="inlineStr">
        <is>
          <t>evidence/gate-probe-results.json · evidence/bypass-endpoints.json · suite/probes/gate-probe.mjs · re-check: node verify/run.mjs --only WC-073 · findings/findings-log.md -&gt; WC-073</t>
        </is>
      </c>
      <c r="O11" s="7" t="inlineStr">
        <is>
          <t>define roles per persona with appropriate doctype permissions and assign them through role profiles, so authorisation is a property of the framework rather than of whether each endpoint remembered to check.</t>
        </is>
      </c>
      <c r="P11" s="7" t="inlineStr">
        <is>
          <t>Verified</t>
        </is>
      </c>
      <c r="Q11" s="7" t="inlineStr"/>
      <c r="R11" s="9" t="inlineStr">
        <is>
          <t>Open</t>
        </is>
      </c>
      <c r="S11" s="9" t="inlineStr"/>
      <c r="T11" s="9" t="inlineStr"/>
      <c r="U11" s="9" t="inlineStr">
        <is>
          <t>Open — re-checked 2026-09-25, still present</t>
        </is>
      </c>
      <c r="V11" s="9" t="inlineStr">
        <is>
          <t>Partially fixed — accounts no longer hold System Manager (live); source ignore_permissions bypass unchanged</t>
        </is>
      </c>
      <c r="W11" s="7" t="inlineStr">
        <is>
          <t>node verify/run.mjs --only WC-073</t>
        </is>
      </c>
    </row>
    <row r="12">
      <c r="A12" s="6" t="inlineStr">
        <is>
          <t>WC-077</t>
        </is>
      </c>
      <c r="B12" s="7" t="inlineStr">
        <is>
          <t>An unauthenticated endpoint attempts to provision a System Manager account</t>
        </is>
      </c>
      <c r="C12" s="10" t="inlineStr">
        <is>
          <t>S2 Critical</t>
        </is>
      </c>
      <c r="D12" s="7" t="inlineStr">
        <is>
          <t>P1</t>
        </is>
      </c>
      <c r="E12" s="7" t="inlineStr">
        <is>
          <t>no account required (unauthenticated)</t>
        </is>
      </c>
      <c r="F12" s="7" t="inlineStr">
        <is>
          <t>no screen reaches this; see Steps</t>
        </is>
      </c>
      <c r="G12" s="7" t="inlineStr">
        <is>
          <t>Authorisation</t>
        </is>
      </c>
      <c r="H12" s="7" t="inlineStr">
        <is>
          <t>Phase 2</t>
        </is>
      </c>
      <c r="I12" s="7" t="inlineStr">
        <is>
          <t>UAT / dev (read-only)</t>
        </is>
      </c>
      <c r="J12" s="7" t="inlineStr">
        <is>
          <t>1. Sign in as an authenticated staff account — any authenticated account is enough.
2. Call weconnect-backend-authentication, authentication/api/registration.py, create_user(email, first_name, last_name), decorated @frappe.whitelist(methods=["POST"], allow_guest=True) with no special privileges.
3. Observe that the call is accepted rather than refused, and check whether anything changed.</t>
        </is>
      </c>
      <c r="K12" s="7" t="inlineStr">
        <is>
          <t>The endpoint checks the caller's authorisation before acting, and refuses the call when the caller is not permitted.</t>
        </is>
      </c>
      <c r="L12" s="7" t="inlineStr">
        <is>
          <t>See the register entry for impact.</t>
        </is>
      </c>
      <c r="M12" s="7" t="inlineStr">
        <is>
          <t>An unauthenticated endpoint attempts to provision a System Manager account.</t>
        </is>
      </c>
      <c r="N12" s="7" t="inlineStr">
        <is>
          <t>evidence/gate-probe-results.json · evidence/bypass-endpoints.json · suite/probes/gate-probe.mjs · re-check: node verify/run.mjs --only WC-077 · findings/findings-log.md -&gt; WC-077</t>
        </is>
      </c>
      <c r="O12" s="7" t="inlineStr">
        <is>
          <t>(1) require an authenticated caller with an appropriate role — remove allow_guest=True; (2) do not grant System Manager on self-service creation — assign the least-privilege role the account needs; (3) if open registration is intended, separate "request an account" from "grant roles" so the two are never the same call.</t>
        </is>
      </c>
      <c r="P12" s="7" t="inlineStr">
        <is>
          <t>Verified — runtime blocks it</t>
        </is>
      </c>
      <c r="Q12" s="7" t="inlineStr"/>
      <c r="R12" s="9" t="inlineStr">
        <is>
          <t>Open</t>
        </is>
      </c>
      <c r="S12" s="9" t="inlineStr"/>
      <c r="T12" s="9" t="inlineStr"/>
      <c r="U12" s="9" t="inlineStr">
        <is>
          <t>Open — re-checked 2026-09-25, still present</t>
        </is>
      </c>
      <c r="V12" s="9" t="inlineStr">
        <is>
          <t>Open — awaiting fix</t>
        </is>
      </c>
      <c r="W12" s="7" t="inlineStr">
        <is>
          <t>node verify/run.mjs --only WC-077</t>
        </is>
      </c>
    </row>
    <row r="13">
      <c r="A13" s="6" t="inlineStr">
        <is>
          <t>WC-078</t>
        </is>
      </c>
      <c r="B13" s="7" t="inlineStr">
        <is>
          <t>Any authenticated user can delete any file by URL (no ownership check)</t>
        </is>
      </c>
      <c r="C13" s="10" t="inlineStr">
        <is>
          <t>S2 Critical</t>
        </is>
      </c>
      <c r="D13" s="7" t="inlineStr">
        <is>
          <t>P1</t>
        </is>
      </c>
      <c r="E13" s="7" t="inlineStr">
        <is>
          <t>any authenticated account</t>
        </is>
      </c>
      <c r="F13" s="7" t="inlineStr">
        <is>
          <t>no screen reaches this; see Steps</t>
        </is>
      </c>
      <c r="G13" s="7" t="inlineStr">
        <is>
          <t>Authorisation</t>
        </is>
      </c>
      <c r="H13" s="7" t="inlineStr">
        <is>
          <t>Phase 2</t>
        </is>
      </c>
      <c r="I13" s="7" t="inlineStr">
        <is>
          <t>Isolated stack (synthetic data)</t>
        </is>
      </c>
      <c r="J13" s="7" t="inlineStr">
        <is>
          <t>1. Sign in as Skilling Partner — any authenticated account is enough.
2. Call weconnect-backend-outreach, outreach/apis/registration/files.py, delete_file_by_url(), @frappe.whitelist(methods=["POST"]) with no special privileges.
3. Observe that the call is accepted rather than refused, and check whether anything changed.</t>
        </is>
      </c>
      <c r="K13" s="7" t="inlineStr">
        <is>
          <t>The endpoint checks the caller's authorisation before acting, and refuses the call when the caller is not permitted.</t>
        </is>
      </c>
      <c r="L13" s="7" t="inlineStr">
        <is>
          <t>Registration documents on this platform include uploaded identity and eligibility paperwork for youth. Any authenticated user — any of the six personas, and per the permission-design finding possibly every staff account — can permanently delete any such file from both S3 and the database by supplying its URL, with no audit of authorisation because none occurs. Deletion is irreversible.</t>
        </is>
      </c>
      <c r="M13" s="7" t="inlineStr">
        <is>
          <t>Registration documents on this platform include uploaded identity and eligibility paperwork for youth. Any authenticated user — any of the six personas, and per the permission-design finding possibly every staff account — can permanently delete any such file from both S3 and the database by supplying its URL, with no audit of authorisation because none occurs. Deletion is irreversible.</t>
        </is>
      </c>
      <c r="N13" s="7" t="inlineStr">
        <is>
          <t>evidence/gate-probe-results.json · evidence/bypass-endpoints.json · suite/probes/gate-probe.mjs · re-check: node verify/run.mjs --only WC-078 · findings/findings-log.md -&gt; WC-078</t>
        </is>
      </c>
      <c r="O13" s="7" t="inlineStr">
        <is>
          <t>verify the caller owns or has permission for the file's parent document before deleting; scope the lookup to files the caller may access; and log the deletion with the actor.</t>
        </is>
      </c>
      <c r="P13" s="7" t="inlineStr">
        <is>
          <t>Verified — runtime</t>
        </is>
      </c>
      <c r="Q13" s="7" t="inlineStr"/>
      <c r="R13" s="9" t="inlineStr">
        <is>
          <t>Open</t>
        </is>
      </c>
      <c r="S13" s="9" t="inlineStr"/>
      <c r="T13" s="9" t="inlineStr"/>
      <c r="U13" s="9" t="inlineStr">
        <is>
          <t>Open — re-checked 2026-09-25, still present</t>
        </is>
      </c>
      <c r="V13" s="9" t="inlineStr">
        <is>
          <t>Runtime re-confirm in progress on isolated stack (2026-10-20)</t>
        </is>
      </c>
      <c r="W13" s="7" t="inlineStr">
        <is>
          <t>node verify/run.mjs --only WC-078</t>
        </is>
      </c>
    </row>
    <row r="14">
      <c r="A14" s="6" t="inlineStr">
        <is>
          <t>WC-079</t>
        </is>
      </c>
      <c r="B14" s="7" t="inlineStr">
        <is>
          <t>Systemic: mutating endpoints bypass permissions with no authorization check</t>
        </is>
      </c>
      <c r="C14" s="10" t="inlineStr">
        <is>
          <t>S2 Critical</t>
        </is>
      </c>
      <c r="D14" s="7" t="inlineStr">
        <is>
          <t>P1</t>
        </is>
      </c>
      <c r="E14" s="7" t="inlineStr">
        <is>
          <t>Centre Head, Skilling Partner</t>
        </is>
      </c>
      <c r="F14" s="7" t="inlineStr">
        <is>
          <t>no screen reaches this; see Steps</t>
        </is>
      </c>
      <c r="G14" s="7" t="inlineStr">
        <is>
          <t>Authorisation</t>
        </is>
      </c>
      <c r="H14" s="7" t="inlineStr">
        <is>
          <t>Phase 2</t>
        </is>
      </c>
      <c r="I14" s="7" t="inlineStr">
        <is>
          <t>Source review</t>
        </is>
      </c>
      <c r="J14" s="7" t="inlineStr">
        <is>
          <t>1. Sign in as Centre Head — any authenticated account is enough.
2. Call the 296 ignore_permissions=True sites across 68 files (evidence/bypass-endpoints.json) with no special privileges.
3. Observe that the call is accepted rather than refused, and check whether anything changed.</t>
        </is>
      </c>
      <c r="K14" s="7" t="inlineStr">
        <is>
          <t>The endpoint checks the caller's authorisation before acting, and refuses the call when the caller is not permitted.</t>
        </is>
      </c>
      <c r="L14" s="7" t="inlineStr">
        <is>
          <t>See the register entry for impact.</t>
        </is>
      </c>
      <c r="M14" s="7" t="inlineStr">
        <is>
          <t>Of 214 mutating endpoints, 39 bypass permissions and contain no authorization check of any kind. Of those, 35 also perform a direct write — they are not merely unguarded reads mislabelled, they change data. The remaining 4 route through an approval or do not write.</t>
        </is>
      </c>
      <c r="N14" s="7" t="inlineStr">
        <is>
          <t>data/authz-audit.json · data/gate-probe-results.json · data/state-boundary-results.json · data/truly-bypassed-endpoints.json · evidence/gate-probe-results.json · evidence/bypass-endpoints.json · suite/probes/gate-probe.mjs · re-check: node verify/run.mjs --only WC-079 · findings/findings-log.md -&gt; WC-079</t>
        </is>
      </c>
      <c r="O14" s="7" t="inlineStr">
        <is>
          <t>authorization should be enforced centrally. A decorator or a base handler that every mutating endpoint passes through — rather than reimplemented (or forgotten) per endpoint. The current design guarantees this class of defect recurs with every new endpoint. This is the same root cause named in the permission-design finding.</t>
        </is>
      </c>
      <c r="P14" s="7" t="inlineStr">
        <is>
          <t>Verified — source + 36/36 confirmed at runtime</t>
        </is>
      </c>
      <c r="Q14" s="7" t="inlineStr"/>
      <c r="R14" s="9" t="inlineStr">
        <is>
          <t>Open</t>
        </is>
      </c>
      <c r="S14" s="9" t="inlineStr"/>
      <c r="T14" s="9" t="inlineStr"/>
      <c r="U14" s="9" t="inlineStr">
        <is>
          <t>Open — re-checked 2026-09-25, still present</t>
        </is>
      </c>
      <c r="V14" s="9" t="inlineStr">
        <is>
          <t>Still present — 322 ignore_permissions sites (up from ~296)</t>
        </is>
      </c>
      <c r="W14" s="7" t="inlineStr">
        <is>
          <t>node verify/run.mjs --only WC-079</t>
        </is>
      </c>
    </row>
    <row r="15">
      <c r="A15" s="6" t="inlineStr">
        <is>
          <t>WC-085</t>
        </is>
      </c>
      <c r="B15" s="7" t="inlineStr">
        <is>
          <t>Financial endpoints share the confirmed cross-centre write gap</t>
        </is>
      </c>
      <c r="C15" s="10" t="inlineStr">
        <is>
          <t>S2 Critical</t>
        </is>
      </c>
      <c r="D15" s="7" t="inlineStr">
        <is>
          <t>P1</t>
        </is>
      </c>
      <c r="E15" s="7" t="inlineStr">
        <is>
          <t>All personas / not role-specific</t>
        </is>
      </c>
      <c r="F15" s="7" t="inlineStr">
        <is>
          <t>no screen reaches this; see Steps</t>
        </is>
      </c>
      <c r="G15" s="7" t="inlineStr">
        <is>
          <t>Authorisation</t>
        </is>
      </c>
      <c r="H15" s="7" t="inlineStr">
        <is>
          <t>Phase 2</t>
        </is>
      </c>
      <c r="I15" s="7" t="inlineStr">
        <is>
          <t>Source review</t>
        </is>
      </c>
      <c r="J15" s="7" t="inlineStr">
        <is>
          <t>1. Sign in as an authenticated staff account and take the API credential from the login response.
2. Identify a record owned by a centre this account is not permitted for.
3. Call youth_skilling.api.invoice.raise_invoice(invoice_id, batch_id, center, installment, ...) against that record.
4. Read the response, then read the record back from the database — the response alone is not proof.</t>
        </is>
      </c>
      <c r="K15" s="7" t="inlineStr">
        <is>
          <t>The call is refused for a centre the account has no permission over. No record is returned and no record is changed.</t>
        </is>
      </c>
      <c r="L15" s="7" t="inlineStr">
        <is>
          <t>See the register entry for impact.</t>
        </is>
      </c>
      <c r="M15" s="7" t="inlineStr">
        <is>
          <t>Financial endpoints share the confirmed cross-centre write gap.</t>
        </is>
      </c>
      <c r="N15" s="7" t="inlineStr">
        <is>
          <t>evidence/state-boundary-results.json · suite/probes/rbac-write-probe.mjs · re-check: node verify/run.mjs --only WC-085 · findings/findings-log.md -&gt; WC-085</t>
        </is>
      </c>
      <c r="O15" s="7" t="inlineStr">
        <is>
          <t>derive center from the caller's permitted scope rather than accepting it as a parameter, and remove ignore_permissions=True. Same pattern as the close_batch fix.</t>
        </is>
      </c>
      <c r="P15" s="7" t="inlineStr">
        <is>
          <t>Verified — source; runtime blocked by fixture</t>
        </is>
      </c>
      <c r="Q15" s="7" t="inlineStr"/>
      <c r="R15" s="9" t="inlineStr">
        <is>
          <t>Open</t>
        </is>
      </c>
      <c r="S15" s="9" t="inlineStr"/>
      <c r="T15" s="9" t="inlineStr"/>
      <c r="U15" s="9" t="inlineStr">
        <is>
          <t>Open — re-checked 2026-09-25, still present</t>
        </is>
      </c>
      <c r="V15" s="9" t="inlineStr">
        <is>
          <t>Runtime re-confirm in progress on isolated stack (2026-10-20)</t>
        </is>
      </c>
      <c r="W15" s="7" t="inlineStr">
        <is>
          <t>node verify/run.mjs --only WC-085</t>
        </is>
      </c>
    </row>
    <row r="16">
      <c r="A16" s="6" t="inlineStr">
        <is>
          <t>WC-088</t>
        </is>
      </c>
      <c r="B16" s="7" t="inlineStr">
        <is>
          <t>Enquiry Form status change is completely broken by a variable typo</t>
        </is>
      </c>
      <c r="C16" s="10" t="inlineStr">
        <is>
          <t>S2 Critical</t>
        </is>
      </c>
      <c r="D16" s="7" t="inlineStr">
        <is>
          <t>P1</t>
        </is>
      </c>
      <c r="E16" s="7" t="inlineStr">
        <is>
          <t>All personas / not role-specific</t>
        </is>
      </c>
      <c r="F16" s="7" t="inlineStr">
        <is>
          <t>no screen reaches this; see Steps</t>
        </is>
      </c>
      <c r="G16" s="7" t="inlineStr">
        <is>
          <t>Error handling</t>
        </is>
      </c>
      <c r="H16" s="7" t="inlineStr">
        <is>
          <t>Phase 2</t>
        </is>
      </c>
      <c r="I16" s="7" t="inlineStr">
        <is>
          <t>UAT / dev (read-only)</t>
        </is>
      </c>
      <c r="J16" s="7" t="inlineStr">
        <is>
          <t>1. Sign in as an account permitted for the Enquiry Form screen.
2. Change the status of any Enquiry Form through the API, with a valid payload.
3. The call returns HTTP 500 UnboundLocalError. It fails on every call, not only on malformed input, because the handler reads a variable that was never assigned.
4. The same defect is present at two sites: outreach/apis/enquiry_form/form.py:38 and outreach/apis/enquiry.py:248.</t>
        </is>
      </c>
      <c r="K16" s="7" t="inlineStr">
        <is>
          <t>A 4xx response with a message the caller can act on. No stack trace and no HTTP 500.</t>
        </is>
      </c>
      <c r="L16" s="7" t="inlineStr">
        <is>
          <t>A core Outreach flow is non-functional. An enquiry cannot be marked dropped-off or standby through this endpoint. The frontend may call a different path, but this whitelisted endpoint — documented in the public API spec — is dead.</t>
        </is>
      </c>
      <c r="M16" s="7" t="inlineStr">
        <is>
          <t>A valid Enquiry Form was created and its status change attempted through the API; the endpoint returned HTTP 500 UnboundLocalError. Confirmed against source.</t>
        </is>
      </c>
      <c r="N16" s="7" t="inlineStr">
        <is>
          <t>evidence/validation-probe-results.json · suite/probes/validation-probe.mjs · re-check: node verify/run.mjs --only WC-088 · findings/findings-log.md -&gt; WC-088</t>
        </is>
      </c>
      <c r="O16" s="7" t="inlineStr">
        <is>
          <t>ids = json.loads(ids). A one-word correction, and a test that calls the endpoint would have caught it — which is the point of this phase.</t>
        </is>
      </c>
      <c r="P16" s="7" t="inlineStr">
        <is>
          <t>Verified — runtime</t>
        </is>
      </c>
      <c r="Q16" s="7" t="inlineStr">
        <is>
          <t>2026-09-22</t>
        </is>
      </c>
      <c r="R16" s="9" t="inlineStr">
        <is>
          <t>Open</t>
        </is>
      </c>
      <c r="S16" s="9" t="inlineStr"/>
      <c r="T16" s="9" t="inlineStr"/>
      <c r="U16" s="9" t="inlineStr">
        <is>
          <t>Open — re-checked 2026-09-25, still present</t>
        </is>
      </c>
      <c r="V16" s="9" t="inlineStr">
        <is>
          <t>Still present — id=json.loads(id) typo at both sites</t>
        </is>
      </c>
      <c r="W16" s="7" t="inlineStr">
        <is>
          <t>node verify/run.mjs --only WC-088</t>
        </is>
      </c>
    </row>
    <row r="17">
      <c r="A17" s="6" t="inlineStr">
        <is>
          <t>WC-105</t>
        </is>
      </c>
      <c r="B17" s="7" t="inlineStr">
        <is>
          <t>Systemic: data scoping is disabled for System Manager in application code, at 45 sites, while the platform forces that role onto every staff account</t>
        </is>
      </c>
      <c r="C17" s="10" t="inlineStr">
        <is>
          <t>S2 Critical</t>
        </is>
      </c>
      <c r="D17" s="7" t="inlineStr">
        <is>
          <t>P1</t>
        </is>
      </c>
      <c r="E17" s="7" t="inlineStr">
        <is>
          <t>All personas / not role-specific</t>
        </is>
      </c>
      <c r="F17" s="7" t="inlineStr">
        <is>
          <t>no screen reaches this; see Steps</t>
        </is>
      </c>
      <c r="G17" s="7" t="inlineStr">
        <is>
          <t>Authorisation</t>
        </is>
      </c>
      <c r="H17" s="7" t="inlineStr">
        <is>
          <t>Phase 2</t>
        </is>
      </c>
      <c r="I17" s="7" t="inlineStr">
        <is>
          <t>UAT / dev (read-only)</t>
        </is>
      </c>
      <c r="J17" s="7" t="inlineStr">
        <is>
          <t>1. Sign in as an authenticated staff account and take the API credential from the login response.
2. Identify a record owned by a centre this account is not permitted for.
3. Call the 45 scoping sites across 26 files (evidence/authz-audit.json) against that record.
4. Read the response, then read the record back from the database — the response alone is not proof.</t>
        </is>
      </c>
      <c r="K17" s="7" t="inlineStr">
        <is>
          <t>The call is refused for a centre the account has no permission over. No record is returned and no record is changed.</t>
        </is>
      </c>
      <c r="L17" s="7" t="inlineStr">
        <is>
          <t>See the register entry for impact.</t>
        </is>
      </c>
      <c r="M17" s="7" t="inlineStr">
        <is>
          <t>The Outreach Coordinator credential reports permitted_centres = ["Kukatpally", "Bhawani Peth"], yet GET /api/resource/Role Profile and GET /api/resource/User both return 200 — reads only a System Manager obtains. That elevation is what produced the counselling S1: 10 of 10 youth counselling records returned from centres the account has no permission for.</t>
        </is>
      </c>
      <c r="N17" s="7" t="inlineStr">
        <is>
          <t>evidence/state-boundary-results.json · suite/probes/rbac-write-probe.mjs · re-check: node verify/run.mjs --only WC-105 · findings/findings-log.md -&gt; WC-105</t>
        </is>
      </c>
      <c r="O17" s="7" t="inlineStr">
        <is>
          <t>1. Remove the role check from data-scoping paths. Scoping should not be conditional on a role. Where a genuine administrative override is needed, make it explicit, narrow and audited — not a blanket pass on youth records. 2. Remove the need for the role, by giving each persona role real doctype permissions. Until that lands, fixing (1) alone will lock staff out, so the two must ship together. 3. Add a test asserting that a non-administrative account cannot read a record outside its permitted centres, for each list endpoint.</t>
        </is>
      </c>
      <c r="P17" s="7" t="inlineStr">
        <is>
          <t>Verified — source, 45 sites; one instance confirmed exploited on the live platform, runtime read-only</t>
        </is>
      </c>
      <c r="Q17" s="7" t="inlineStr"/>
      <c r="R17" s="9" t="inlineStr">
        <is>
          <t>Open</t>
        </is>
      </c>
      <c r="S17" s="9" t="inlineStr"/>
      <c r="T17" s="9" t="inlineStr"/>
      <c r="U17" s="9" t="inlineStr">
        <is>
          <t>Open — re-checked 2026-09-25, still present</t>
        </is>
      </c>
      <c r="V17" s="9" t="inlineStr">
        <is>
          <t>Still present — 66 System Manager references in backend code</t>
        </is>
      </c>
      <c r="W17" s="7" t="inlineStr">
        <is>
          <t>node verify/run.mjs --only WC-105</t>
        </is>
      </c>
    </row>
    <row r="18">
      <c r="A18" s="6" t="inlineStr">
        <is>
          <t>WC-115</t>
        </is>
      </c>
      <c r="B18" s="7" t="inlineStr">
        <is>
          <t>Any authenticated account, including an external partner, can trigger a bulk export of programme data to an external Google Sheet</t>
        </is>
      </c>
      <c r="C18" s="10" t="inlineStr">
        <is>
          <t>S2 Critical</t>
        </is>
      </c>
      <c r="D18" s="7" t="inlineStr">
        <is>
          <t>P1</t>
        </is>
      </c>
      <c r="E18" s="7" t="inlineStr">
        <is>
          <t>any authenticated account, including an external partner</t>
        </is>
      </c>
      <c r="F18" s="7" t="inlineStr">
        <is>
          <t>no screen reaches this; see Steps</t>
        </is>
      </c>
      <c r="G18" s="7" t="inlineStr">
        <is>
          <t>Authorisation</t>
        </is>
      </c>
      <c r="H18" s="7" t="inlineStr">
        <is>
          <t>Phase 2 (security)</t>
        </is>
      </c>
      <c r="I18" s="7" t="inlineStr">
        <is>
          <t>Isolated stack (synthetic data)</t>
        </is>
      </c>
      <c r="J18" s="7" t="inlineStr">
        <is>
          <t>1. Sign in as Facilitator and Counsellor — any authenticated account is enough.
2. Call outreach.apis.lcf_mastersheet_sync.sync_to_lcf_mastersheet with no special privileges.
3. Observe that the call is accepted rather than refused, and check whether anything changed.</t>
        </is>
      </c>
      <c r="K18" s="7" t="inlineStr">
        <is>
          <t>The endpoint checks the caller's authorisation before acting, and refuses the call when the caller is not permitted.</t>
        </is>
      </c>
      <c r="L18" s="7" t="inlineStr">
        <is>
          <t>See the register entry for impact.</t>
        </is>
      </c>
      <c r="M18" s="7" t="inlineStr">
        <is>
          <t>Called on the isolated instance as sp — the Skilling Partner persona, which represents an external training provider and is the lowest-trust account in the system — the endpoint returned HTTP 200 and reached its own logic, failing only with "LCF Google Sheet ID is not set in Google Integration Settings." That failure is downstream of where a permission check belongs. The same result for fc. No caller was refused.</t>
        </is>
      </c>
      <c r="N18" s="7" t="inlineStr">
        <is>
          <t>evidence/gate-probe-results.json · evidence/bypass-endpoints.json · suite/probes/gate-probe.mjs · re-check: node verify/run.mjs --only WC-115 · findings/findings-log.md -&gt; WC-115</t>
        </is>
      </c>
      <c r="O18" s="7" t="inlineStr">
        <is>
          <t>require an explicit role for this endpoint — it is an administrative reporting function, not a per-persona one — and log every invocation with the calling account. It is a strong candidate for the central authorisation change recommended for the mutating endpoints, since it is exactly the class of sensitive operation that change is meant to cover.</t>
        </is>
      </c>
      <c r="P18" s="7" t="inlineStr">
        <is>
          <t>Verified — runtime, isolated instance</t>
        </is>
      </c>
      <c r="Q18" s="7" t="inlineStr"/>
      <c r="R18" s="9" t="inlineStr">
        <is>
          <t>Open</t>
        </is>
      </c>
      <c r="S18" s="9" t="inlineStr"/>
      <c r="T18" s="9" t="inlineStr"/>
      <c r="U18" s="9" t="inlineStr">
        <is>
          <t>Open — re-checked 2026-09-25, still present</t>
        </is>
      </c>
      <c r="V18" s="9" t="inlineStr">
        <is>
          <t>Runtime re-confirm in progress on isolated stack (2026-10-20)</t>
        </is>
      </c>
      <c r="W18" s="7" t="inlineStr">
        <is>
          <t>node verify/run.mjs --only WC-115</t>
        </is>
      </c>
    </row>
    <row r="19">
      <c r="A19" s="6" t="inlineStr">
        <is>
          <t>WC-131</t>
        </is>
      </c>
      <c r="B19" s="7" t="inlineStr">
        <is>
          <t>The password-reset OTP is a four-digit number with a short expiry, drawn with a non-cryptographic generator</t>
        </is>
      </c>
      <c r="C19" s="10" t="inlineStr">
        <is>
          <t>S2 Critical</t>
        </is>
      </c>
      <c r="D19" s="7" t="inlineStr">
        <is>
          <t>P1</t>
        </is>
      </c>
      <c r="E19" s="7" t="inlineStr">
        <is>
          <t>any account (reset is by email, unauthenticated)</t>
        </is>
      </c>
      <c r="F19" s="7" t="inlineStr">
        <is>
          <t>no screen reaches this; see Steps</t>
        </is>
      </c>
      <c r="G19" s="7" t="inlineStr">
        <is>
          <t>Authentication / session</t>
        </is>
      </c>
      <c r="H19" s="7" t="inlineStr">
        <is>
          <t>Phase 2 (security)</t>
        </is>
      </c>
      <c r="I19" s="7" t="inlineStr">
        <is>
          <t>Source review</t>
        </is>
      </c>
      <c r="J19" s="7" t="inlineStr">
        <is>
          <t>1. Open authentication/api/password.py, function generate_otp().
2. Confirm it returns random.randint(1111, 9999) — four digits, non-cryptographic generator.
3. In verify_otp (same file), confirm there is no attempt counter or lockout on mismatch.
4. In password_reset_otp.py, confirm the expiry is three minutes.</t>
        </is>
      </c>
      <c r="K19" s="7" t="inlineStr">
        <is>
          <t>A reset code is drawn with a cryptographic generator, is long enough to resist guessing, and verification is attempt-limited.</t>
        </is>
      </c>
      <c r="L19" s="7" t="inlineStr">
        <is>
          <t>reset_password is unauthenticated, the OTP that gates it is weak, and verification is unthrottled — the conditions for account takeover by email address. Because every staff account holds System Manager (WC-073), compromising any account equals full administrative access. Candidate for S1; held at S2 only because the weakness is source-verified and a live takeover was deliberately not performed. Treat remediation with S1 urgency.</t>
        </is>
      </c>
      <c r="M19" s="7" t="inlineStr">
        <is>
          <t>generate_otp() returns random.randint(1111, 9999). verify_otp has no attempt limit. Expiry is 3 minutes. reset_password is allow_guest=True.</t>
        </is>
      </c>
      <c r="N19" s="7" t="inlineStr">
        <is>
          <t>source: authentication/api/password.py · findings/findings-log.md -&gt; WC-131</t>
        </is>
      </c>
      <c r="O19" s="7" t="inlineStr">
        <is>
          <t>Generate the code with the secrets module (e.g. a six-digit secrets.randbelow(900000)+100000), store an attempt counter on the Password Reset OTP record, and invalidate after a few failed verifications — the discipline the login path (WC-117) already applies. Keep the three-minute expiry.</t>
        </is>
      </c>
      <c r="P19" s="7" t="inlineStr">
        <is>
          <t>Verified — source</t>
        </is>
      </c>
      <c r="Q19" s="7" t="inlineStr">
        <is>
          <t>2026-10-06</t>
        </is>
      </c>
      <c r="R19" s="9" t="inlineStr">
        <is>
          <t>Open</t>
        </is>
      </c>
      <c r="S19" s="9" t="inlineStr"/>
      <c r="T19" s="9" t="inlineStr"/>
      <c r="U19" s="9" t="inlineStr">
        <is>
          <t>Open</t>
        </is>
      </c>
      <c r="V19" s="9" t="inlineStr">
        <is>
          <t>Partially fixed — OTP now CSPRNG (secrets.randbelow); still 4-digit</t>
        </is>
      </c>
      <c r="W19" s="7" t="inlineStr"/>
    </row>
    <row r="20">
      <c r="A20" s="6" t="inlineStr">
        <is>
          <t>WC-002</t>
        </is>
      </c>
      <c r="B20" s="7" t="inlineStr">
        <is>
          <t>Target Data API returns 404</t>
        </is>
      </c>
      <c r="C20" s="10" t="inlineStr">
        <is>
          <t>S2 Critical</t>
        </is>
      </c>
      <c r="D20" s="7" t="inlineStr">
        <is>
          <t>P2</t>
        </is>
      </c>
      <c r="E20" s="7" t="inlineStr">
        <is>
          <t>Centre Head, Facilitator and Counsellor</t>
        </is>
      </c>
      <c r="F20" s="7" t="inlineStr">
        <is>
          <t>/ch/, /fc/, /fc/all-batches</t>
        </is>
      </c>
      <c r="G20" s="7" t="inlineStr">
        <is>
          <t>API contract</t>
        </is>
      </c>
      <c r="H20" s="7" t="inlineStr">
        <is>
          <t>Phase 1</t>
        </is>
      </c>
      <c r="I20" s="7" t="inlineStr">
        <is>
          <t>UAT / dev (read-only)</t>
        </is>
      </c>
      <c r="J20" s="7" t="inlineStr">
        <is>
          <t>1. Sign in as an authenticated staff account and open centre_head.api.target.main_dashboard.main_target (the Target Data widget's API) with the browser network tab open.
2. Find the failing request in the network log.
3. Note its URL and status code.</t>
        </is>
      </c>
      <c r="K20" s="7" t="inlineStr">
        <is>
          <t>The endpoint the screen calls exists on the deployed build and returns its data.</t>
        </is>
      </c>
      <c r="L20" s="7" t="inlineStr">
        <is>
          <t>See the register entry for impact.</t>
        </is>
      </c>
      <c r="M20" s="7" t="inlineStr">
        <is>
          <t>404; widget shows "Data not available.".</t>
        </is>
      </c>
      <c r="N20" s="7" t="inlineStr">
        <is>
          <t>evidence/write-surface-classified.json · findings/findings-log.md -&gt; WC-002</t>
        </is>
      </c>
      <c r="O20" s="7" t="inlineStr">
        <is>
          <t>the widget calls an endpoint that is not present on the deployed build. Either restore centre_head.api.target.main_dashboard.main_target or remove the card that calls it. Either way the frontend should render an explicit empty state rather than the literal string shown today; the broken wording is tracked separately as S4.</t>
        </is>
      </c>
      <c r="P20" s="7" t="inlineStr">
        <is>
          <t>Verified — observed at first contact</t>
        </is>
      </c>
      <c r="Q20" s="7" t="inlineStr"/>
      <c r="R20" s="9" t="inlineStr">
        <is>
          <t>Open</t>
        </is>
      </c>
      <c r="S20" s="9" t="inlineStr"/>
      <c r="T20" s="9" t="inlineStr"/>
      <c r="U20" s="9" t="inlineStr">
        <is>
          <t>Open</t>
        </is>
      </c>
      <c r="V20" s="9" t="inlineStr">
        <is>
          <t>Open — awaiting fix</t>
        </is>
      </c>
      <c r="W20" s="7" t="inlineStr"/>
    </row>
    <row r="21">
      <c r="A21" s="6" t="inlineStr">
        <is>
          <t>WC-011</t>
        </is>
      </c>
      <c r="B21" s="7" t="inlineStr">
        <is>
          <t>Client-side auth guard is hardcoded to true (disabled)</t>
        </is>
      </c>
      <c r="C21" s="10" t="inlineStr">
        <is>
          <t>S2 Critical</t>
        </is>
      </c>
      <c r="D21" s="7" t="inlineStr">
        <is>
          <t>P2</t>
        </is>
      </c>
      <c r="E21" s="7" t="inlineStr">
        <is>
          <t>Facilitator and Counsellor, any persona (login)</t>
        </is>
      </c>
      <c r="F21" s="7" t="inlineStr">
        <is>
          <t>no screen reaches this; see Steps</t>
        </is>
      </c>
      <c r="G21" s="7" t="inlineStr">
        <is>
          <t>Authorisation</t>
        </is>
      </c>
      <c r="H21" s="7" t="inlineStr">
        <is>
          <t>Phase 1</t>
        </is>
      </c>
      <c r="I21" s="7" t="inlineStr">
        <is>
          <t>UAT / dev (read-only)</t>
        </is>
      </c>
      <c r="J21" s="7" t="inlineStr">
        <is>
          <t>1. Sign in as Facilitator and Counsellor — any authenticated account is enough.
2. Call /fc/all-batches with no special privileges.
3. Observe that the call is accepted rather than refused, and check whether anything changed.</t>
        </is>
      </c>
      <c r="K21" s="7" t="inlineStr">
        <is>
          <t>The endpoint checks the caller's authorisation before acting, and refuses the call when the caller is not permitted.</t>
        </is>
      </c>
      <c r="L21" s="7" t="inlineStr">
        <is>
          <t>the FC frontend renders all authenticated routes regardless of login state. Real severity depends on whether the backend rejects requests lacking a valid session token: - If backend enforces auth -&gt; attacker sees an empty shell (S2, still ships broken security posture). - If backend does not -&gt; unauthenticated data exposure (S1).</t>
        </is>
      </c>
      <c r="M21" s="7" t="inlineStr">
        <is>
          <t>const isAuthenticated = true; — the route guard never reads auth state. The redirect-to-login branch is dead code. URLs.Login isn't even defined in routes.js (would ReferenceError if that branch ever ran).</t>
        </is>
      </c>
      <c r="N21" s="7" t="inlineStr">
        <is>
          <t>test-results-run2/sweep-route-sweep--fc-rout-8f432--fc-all-batches-AllBatches--fc/test-failed-1.png · evidence/gate-probe-results.json · evidence/bypass-endpoints.json · suite/probes/gate-probe.mjs · findings/findings-log.md -&gt; WC-011</t>
        </is>
      </c>
      <c r="O21" s="7" t="inlineStr">
        <is>
          <t>See register.</t>
        </is>
      </c>
      <c r="P21" s="7" t="inlineStr">
        <is>
          <t>Verified</t>
        </is>
      </c>
      <c r="Q21" s="7" t="inlineStr">
        <is>
          <t>2026-09-18</t>
        </is>
      </c>
      <c r="R21" s="9" t="inlineStr">
        <is>
          <t>Open</t>
        </is>
      </c>
      <c r="S21" s="9" t="inlineStr"/>
      <c r="T21" s="9" t="inlineStr"/>
      <c r="U21" s="9" t="inlineStr">
        <is>
          <t>Open</t>
        </is>
      </c>
      <c r="V21" s="9" t="inlineStr">
        <is>
          <t>Fixed (retest 2026-10-20) — auth guard now derived from credentials, not hardcoded true</t>
        </is>
      </c>
      <c r="W21" s="7" t="inlineStr"/>
    </row>
    <row r="22">
      <c r="A22" s="6" t="inlineStr">
        <is>
          <t>WC-013</t>
        </is>
      </c>
      <c r="B22" s="7" t="inlineStr">
        <is>
          <t>Long-lived API secret stored in localStorage</t>
        </is>
      </c>
      <c r="C22" s="10" t="inlineStr">
        <is>
          <t>S2 Critical</t>
        </is>
      </c>
      <c r="D22" s="7" t="inlineStr">
        <is>
          <t>P2</t>
        </is>
      </c>
      <c r="E22" s="7" t="inlineStr">
        <is>
          <t>any persona (login)</t>
        </is>
      </c>
      <c r="F22" s="7" t="inlineStr">
        <is>
          <t>no screen reaches this; see Steps</t>
        </is>
      </c>
      <c r="G22" s="7" t="inlineStr">
        <is>
          <t>Security configuration</t>
        </is>
      </c>
      <c r="H22" s="7" t="inlineStr">
        <is>
          <t>Phase 1</t>
        </is>
      </c>
      <c r="I22" s="7" t="inlineStr">
        <is>
          <t>UAT / dev (read-only)</t>
        </is>
      </c>
      <c r="J22" s="7" t="inlineStr">
        <is>
          <t>1. No sign-in needed for the header checks.
2. Issue the request described in the Actual Result column against the deployed host.
3. Inspect the response headers (or the cookie attributes) rather than the body.
4. Fastest route: node verify/run.mjs --only WC-013</t>
        </is>
      </c>
      <c r="K22" s="7" t="inlineStr">
        <is>
          <t>The protective setting is in place and the unsafe request is refused.</t>
        </is>
      </c>
      <c r="L22" s="7" t="inlineStr">
        <is>
          <t>Frappe API key/secret are long-lived credentials (not short session tokens). Any XSS on the domain exfiltrates a permanent API credential -&gt; persistent account takeover. httpOnly cookie would mitigate.</t>
        </is>
      </c>
      <c r="M22" s="7" t="inlineStr">
        <is>
          <t>login stores Frappe api_key/api_secret in localStorage; every request sends Authorization: token &lt;key&gt;:&lt;secret&gt;.</t>
        </is>
      </c>
      <c r="N22" s="7" t="inlineStr">
        <is>
          <t>verify/run.mjs · findings/findings-log.md -&gt; WC-013</t>
        </is>
      </c>
      <c r="O22" s="7" t="inlineStr">
        <is>
          <t>move the session to a short-lived, httpOnly, Secure, SameSite cookie so it cannot be read from JavaScript, and shorten its lifetime. A token in localStorage is readable by any script on the origin — and the persona applications share a single origin, so an XSS in any one of them yields a credential valid for the others.</t>
        </is>
      </c>
      <c r="P22" s="7" t="inlineStr">
        <is>
          <t>Verified</t>
        </is>
      </c>
      <c r="Q22" s="7" t="inlineStr"/>
      <c r="R22" s="9" t="inlineStr">
        <is>
          <t>Open</t>
        </is>
      </c>
      <c r="S22" s="9" t="inlineStr"/>
      <c r="T22" s="9" t="inlineStr"/>
      <c r="U22" s="9" t="inlineStr">
        <is>
          <t>Open</t>
        </is>
      </c>
      <c r="V22" s="9" t="inlineStr">
        <is>
          <t>Still present — api_secret still written to localStorage (15 sites)</t>
        </is>
      </c>
      <c r="W22" s="7" t="inlineStr"/>
    </row>
    <row r="23">
      <c r="A23" s="6" t="inlineStr">
        <is>
          <t>WC-016</t>
        </is>
      </c>
      <c r="B23" s="7" t="inlineStr">
        <is>
          <t>14 routes render blank on direct load</t>
        </is>
      </c>
      <c r="C23" s="10" t="inlineStr">
        <is>
          <t>S2 Critical</t>
        </is>
      </c>
      <c r="D23" s="7" t="inlineStr">
        <is>
          <t>P2</t>
        </is>
      </c>
      <c r="E23" s="7" t="inlineStr">
        <is>
          <t>Facilitator and Counsellor, Skilling Partner, Skilling Youth Coordinator</t>
        </is>
      </c>
      <c r="F23" s="7" t="inlineStr">
        <is>
          <t>no screen reaches this; see Steps</t>
        </is>
      </c>
      <c r="G23" s="7" t="inlineStr">
        <is>
          <t>Frontend</t>
        </is>
      </c>
      <c r="H23" s="7" t="inlineStr">
        <is>
          <t>Phase 1</t>
        </is>
      </c>
      <c r="I23" s="7" t="inlineStr">
        <is>
          <t>UAT / dev (read-only)</t>
        </is>
      </c>
      <c r="J23" s="7" t="inlineStr">
        <is>
          <t>1. Sign in as Facilitator and Counsellor.
2. Paste /syc/coming-soon into the address bar and load it directly — do not navigate to it from inside the app.
3. Observe whether the screen renders. Open the browser console and note any exception.</t>
        </is>
      </c>
      <c r="K23" s="7" t="inlineStr">
        <is>
          <t>The screen renders its content when the URL is opened directly, refreshed, or reached from a bookmark.</t>
        </is>
      </c>
      <c r="L23" s="7" t="inlineStr">
        <is>
          <t>See the register entry for impact.</t>
        </is>
      </c>
      <c r="M23" s="7" t="inlineStr">
        <is>
          <t>the full suite executed three consecutive times. Each route below rendered nothing in every execution, so environmental flake is excluded — routes failing in only some executions are classified separately and are not listed here. Body renders 0 characters.</t>
        </is>
      </c>
      <c r="N23" s="7" t="inlineStr">
        <is>
          <t>test-results-run1/sweep-route-sweep--fc-rout-857ce-iew-post-test-ViewPostTest--fc/test-failed-1.png · test-results-run1/sweep-route-sweep--fc-rout-7d3d1-dance-GroupBasedAttendance--fc-retry1/test-failed-1.png · test-results-run1/sweep-route-sweep--fc-rout-c69cf--fc-badge-table-BadgeTable--fc-retry1/ · findings/findings-log.md -&gt; WC-016</t>
        </is>
      </c>
      <c r="O23" s="7" t="inlineStr">
        <is>
          <t>root-caused separately to a null navigation state. These routes read their identifier from React Router state, which is absent on a direct load or a refresh. Read the identifier from URL parameters and guard the read. One fix closes this and the group-based route failures below.</t>
        </is>
      </c>
      <c r="P23" s="7" t="inlineStr">
        <is>
          <t>Verified — three consecutive executions, 2026-09-19</t>
        </is>
      </c>
      <c r="Q23" s="7" t="inlineStr">
        <is>
          <t>2026-09-19</t>
        </is>
      </c>
      <c r="R23" s="9" t="inlineStr">
        <is>
          <t>Open</t>
        </is>
      </c>
      <c r="S23" s="9" t="inlineStr"/>
      <c r="T23" s="9" t="inlineStr"/>
      <c r="U23" s="9" t="inlineStr">
        <is>
          <t>Open</t>
        </is>
      </c>
      <c r="V23" s="9" t="inlineStr">
        <is>
          <t>Open — awaiting fix</t>
        </is>
      </c>
      <c r="W23" s="7" t="inlineStr"/>
    </row>
    <row r="24">
      <c r="A24" s="6" t="inlineStr">
        <is>
          <t>WC-017</t>
        </is>
      </c>
      <c r="B24" s="7" t="inlineStr">
        <is>
          <t>Two "group-based" routes fail identically in both FC and SYC</t>
        </is>
      </c>
      <c r="C24" s="10" t="inlineStr">
        <is>
          <t>S2 Critical</t>
        </is>
      </c>
      <c r="D24" s="7" t="inlineStr">
        <is>
          <t>P2</t>
        </is>
      </c>
      <c r="E24" s="7" t="inlineStr">
        <is>
          <t>All personas / not role-specific</t>
        </is>
      </c>
      <c r="F24" s="7" t="inlineStr">
        <is>
          <t>no screen reaches this; see Steps</t>
        </is>
      </c>
      <c r="G24" s="7" t="inlineStr">
        <is>
          <t>Frontend</t>
        </is>
      </c>
      <c r="H24" s="7" t="inlineStr">
        <is>
          <t>Phase 1</t>
        </is>
      </c>
      <c r="I24" s="7" t="inlineStr">
        <is>
          <t>UAT / dev (read-only)</t>
        </is>
      </c>
      <c r="J24" s="7" t="inlineStr">
        <is>
          <t>1. Sign in as an authenticated staff account.
2. Paste /fc/group-based-counselling/attendance and the equivalent /syc/ route into the address bar and load it directly — do not navigate to it from inside the app.
3. Observe whether the screen renders. Open the browser console and note any exception.</t>
        </is>
      </c>
      <c r="K24" s="7" t="inlineStr">
        <is>
          <t>The screen renders its content when the URL is opened directly, refreshed, or reached from a bookmark.</t>
        </is>
      </c>
      <c r="L24" s="7" t="inlineStr">
        <is>
          <t>two independent apps failing on the same two route names points at a shared component (persona-common-components) or a shared route-state contract, not at two coincidental per-app bugs. One fix likely clears four failures.</t>
        </is>
      </c>
      <c r="M24" s="7" t="inlineStr">
        <is>
          <t>two independent apps failing on the same two route names points at a shared component (persona-common-components) or a shared route-state contract, not at two coincidental per-app bugs. One fix likely clears four failures.</t>
        </is>
      </c>
      <c r="N24" s="7" t="inlineStr">
        <is>
          <t>findings/findings-log.md -&gt; WC-017</t>
        </is>
      </c>
      <c r="O24" s="7" t="inlineStr">
        <is>
          <t>the same null navigation state as the 14 blank routes — identical cause, identical remedy. Read identifiers from URL parameters rather than router state.</t>
        </is>
      </c>
      <c r="P24" s="7" t="inlineStr">
        <is>
          <t>Verified — new</t>
        </is>
      </c>
      <c r="Q24" s="7" t="inlineStr"/>
      <c r="R24" s="9" t="inlineStr">
        <is>
          <t>Open</t>
        </is>
      </c>
      <c r="S24" s="9" t="inlineStr"/>
      <c r="T24" s="9" t="inlineStr"/>
      <c r="U24" s="9" t="inlineStr">
        <is>
          <t>Open</t>
        </is>
      </c>
      <c r="V24" s="9" t="inlineStr">
        <is>
          <t>Open — awaiting fix</t>
        </is>
      </c>
      <c r="W24" s="7" t="inlineStr"/>
    </row>
    <row r="25">
      <c r="A25" s="6" t="inlineStr">
        <is>
          <t>WC-018</t>
        </is>
      </c>
      <c r="B25" s="7" t="inlineStr">
        <is>
          <t>SYC /curriculum data API returns 500</t>
        </is>
      </c>
      <c r="C25" s="10" t="inlineStr">
        <is>
          <t>S2 Critical</t>
        </is>
      </c>
      <c r="D25" s="7" t="inlineStr">
        <is>
          <t>P2</t>
        </is>
      </c>
      <c r="E25" s="7" t="inlineStr">
        <is>
          <t>Skilling Manager, Skilling Partner, Skilling Youth Coordinator</t>
        </is>
      </c>
      <c r="F25" s="7" t="inlineStr">
        <is>
          <t>/sm/assessments, /sm/assignments, /sm/curriculum, /sp/assignment, /sp/curriculum, /syc/asses</t>
        </is>
      </c>
      <c r="G25" s="7" t="inlineStr">
        <is>
          <t>Error handling</t>
        </is>
      </c>
      <c r="H25" s="7" t="inlineStr">
        <is>
          <t>Phase 1</t>
        </is>
      </c>
      <c r="I25" s="7" t="inlineStr">
        <is>
          <t>Isolated stack (synthetic data)</t>
        </is>
      </c>
      <c r="J25" s="7" t="inlineStr">
        <is>
          <t>1. Sign in as Skilling Youth Coordinator.
2. Open the curriculum screen, or call youth_skilling.api.curriculum.curriculum_list directly with valid arguments.
3. Read the HTTP status. The call fails on a correctly formed request, not only on a malformed one.</t>
        </is>
      </c>
      <c r="K25" s="7" t="inlineStr">
        <is>
          <t>A 4xx response with a message the caller can act on. No stack trace and no HTTP 500.</t>
        </is>
      </c>
      <c r="L25" s="7" t="inlineStr">
        <is>
          <t>See the register entry for impact.</t>
        </is>
      </c>
      <c r="M25" s="7" t="inlineStr">
        <is>
          <t>page shell renders (~140 chars) but a backend data call returns HTTP 500.</t>
        </is>
      </c>
      <c r="N25" s="7" t="inlineStr">
        <is>
          <t>evidence/validation-probe-results.json · suite/probes/validation-probe.mjs · findings/findings-log.md -&gt; WC-018</t>
        </is>
      </c>
      <c r="O25" s="7" t="inlineStr">
        <is>
          <t>Verified on the isolated instance (2026-09-20): youth_skilling.api.curriculum.curriculum_list returns HTTP 500 with TypeError: curriculum_list() missing 1 required positional argument: 'skilling_batch_id', and the response carries a traceback. This is therefore an instance of the missing-argument crash pattern rather than a separate defect: give the parameter a default, validate presence explicitly and return 400 naming the missing field. Note the sibling batch_management.api.curriculum.list answers 417 to the same shape of call. The two disagree on how a bad request should be rejected.</t>
        </is>
      </c>
      <c r="P25" s="7" t="inlineStr">
        <is>
          <t>Verified</t>
        </is>
      </c>
      <c r="Q25" s="7" t="inlineStr">
        <is>
          <t>2026-09-20</t>
        </is>
      </c>
      <c r="R25" s="9" t="inlineStr">
        <is>
          <t>Open</t>
        </is>
      </c>
      <c r="S25" s="9" t="inlineStr"/>
      <c r="T25" s="9" t="inlineStr"/>
      <c r="U25" s="9" t="inlineStr">
        <is>
          <t>Open</t>
        </is>
      </c>
      <c r="V25" s="9" t="inlineStr">
        <is>
          <t>Open — awaiting fix</t>
        </is>
      </c>
      <c r="W25" s="7" t="inlineStr"/>
    </row>
    <row r="26">
      <c r="A26" s="6" t="inlineStr">
        <is>
          <t>WC-020</t>
        </is>
      </c>
      <c r="B26" s="7" t="inlineStr">
        <is>
          <t>Backend returns 500s under modest concurrency</t>
        </is>
      </c>
      <c r="C26" s="10" t="inlineStr">
        <is>
          <t>S2 Critical</t>
        </is>
      </c>
      <c r="D26" s="7" t="inlineStr">
        <is>
          <t>P2</t>
        </is>
      </c>
      <c r="E26" s="7" t="inlineStr">
        <is>
          <t>Facilitator and Counsellor, Skilling Partner, Skilling Youth Coordinator</t>
        </is>
      </c>
      <c r="F26" s="7" t="inlineStr">
        <is>
          <t>no screen reaches this; see Steps</t>
        </is>
      </c>
      <c r="G26" s="7" t="inlineStr">
        <is>
          <t>Performance</t>
        </is>
      </c>
      <c r="H26" s="7" t="inlineStr">
        <is>
          <t>Phase 1</t>
        </is>
      </c>
      <c r="I26" s="7" t="inlineStr">
        <is>
          <t>UAT / dev (read-only)</t>
        </is>
      </c>
      <c r="J26" s="7" t="inlineStr">
        <is>
          <t>1. Drive /fc/family-counselling with several sessions at once, increasing concurrency step by step.
2. Record the HTTP status and response time at each level.
3. Note the point at which results stop being consistent.</t>
        </is>
      </c>
      <c r="K26" s="7" t="inlineStr">
        <is>
          <t>The endpoint responds within the expected load without degrading, and large result sets are paginated.</t>
        </is>
      </c>
      <c r="L26" s="7" t="inlineStr">
        <is>
          <t>See the register entry for impact.</t>
        </is>
      </c>
      <c r="M26" s="7" t="inlineStr">
        <is>
          <t>at 6 parallel workers many data endpoints returned 500; at ≤3 workers / serialized they return 200. Backend stability/scaling concern. Recommend a dedicated load test.</t>
        </is>
      </c>
      <c r="N26" s="7" t="inlineStr">
        <is>
          <t>test-results/sweep-route-sweep--fc-rout-d40b6-fc-counselling-Counselling--fc/test-failed-1.png · evidence/gate-probe-results.json · findings/findings-log.md -&gt; WC-020</t>
        </is>
      </c>
      <c r="O26" s="7" t="inlineStr">
        <is>
          <t>size the worker pool for the expected concurrency, and return 503 with a retry hint when saturated rather than 500 with a traceback. A 500 tells a client its request was wrong; a 503 tells it to retry, which is the truthful answer under load.</t>
        </is>
      </c>
      <c r="P26" s="7" t="inlineStr">
        <is>
          <t>Verified</t>
        </is>
      </c>
      <c r="Q26" s="7" t="inlineStr">
        <is>
          <t>2026-09-18</t>
        </is>
      </c>
      <c r="R26" s="9" t="inlineStr">
        <is>
          <t>Open</t>
        </is>
      </c>
      <c r="S26" s="9" t="inlineStr"/>
      <c r="T26" s="9" t="inlineStr"/>
      <c r="U26" s="9" t="inlineStr">
        <is>
          <t>Open</t>
        </is>
      </c>
      <c r="V26" s="9" t="inlineStr">
        <is>
          <t>Open — awaiting fix</t>
        </is>
      </c>
      <c r="W26" s="7" t="inlineStr"/>
    </row>
    <row r="27">
      <c r="A27" s="6" t="inlineStr">
        <is>
          <t>WC-027</t>
        </is>
      </c>
      <c r="B27" s="7" t="inlineStr">
        <is>
          <t>Systematic WCAG critical violations, concentrated in shared navigation</t>
        </is>
      </c>
      <c r="C27" s="10" t="inlineStr">
        <is>
          <t>S2 Critical</t>
        </is>
      </c>
      <c r="D27" s="7" t="inlineStr">
        <is>
          <t>P2</t>
        </is>
      </c>
      <c r="E27" s="7" t="inlineStr">
        <is>
          <t>All personas / not role-specific</t>
        </is>
      </c>
      <c r="F27" s="7" t="inlineStr">
        <is>
          <t>no screen reaches this; see Steps</t>
        </is>
      </c>
      <c r="G27" s="7" t="inlineStr">
        <is>
          <t>Accessibility</t>
        </is>
      </c>
      <c r="H27" s="7" t="inlineStr">
        <is>
          <t>Phase 1</t>
        </is>
      </c>
      <c r="I27" s="7" t="inlineStr">
        <is>
          <t>UAT / dev (read-only)</t>
        </is>
      </c>
      <c r="J27" s="7" t="inlineStr">
        <is>
          <t>1. Load the shared sidebar navigation component, which appears on every route as an authenticated staff account.
2. Run axe-core against the page (or any WCAG 2.1 AA checker).
3. Read the violations for the element named in the Actual Result column.</t>
        </is>
      </c>
      <c r="K27" s="7" t="inlineStr">
        <is>
          <t>The element meets WCAG 2.1 AA.</t>
        </is>
      </c>
      <c r="L27" s="7" t="inlineStr">
        <is>
          <t>a screen-reader user cannot identify navigation items (no alt text), cannot operate icon-only buttons (no accessible name), and meets a malformed list structure on every page. In practice the platform is not usable without sight. For a foundation delivering public-benefit programmes this is also a procurement and funding exposure, not only a usability one.</t>
        </is>
      </c>
      <c r="M27" s="7" t="inlineStr">
        <is>
          <t>The distribution matters as much as the count. Four rules fire on every route scanned, in every persona. This is not 23 pages each carrying its own mistakes. It is one shared layout and navigation component, repeated across all of them. The 181 orphaned &lt;li&gt; elements and the unlabelled icon images match the sidebar navigation observed during route mapping. Impact: a screen-reader user cannot identify navigation items (no alt text), cannot operate icon-only buttons (no accessible name), and meets a malformed list structure on every page.</t>
        </is>
      </c>
      <c r="N27" s="7" t="inlineStr">
        <is>
          <t>the axe-core run across all 235 routes · findings/findings-log.md -&gt; WC-027</t>
        </is>
      </c>
      <c r="O27" s="7" t="inlineStr">
        <is>
          <t>correct the sidebar list markup (&lt;li&gt; inside &lt;ul&gt;), add alt to nav icons, give icon-only buttons an aria-label, and remove ARIA attributes not permitted on their roles — all in the shared navigation component.</t>
        </is>
      </c>
      <c r="P27" s="7" t="inlineStr">
        <is>
          <t>Verified</t>
        </is>
      </c>
      <c r="Q27" s="7" t="inlineStr"/>
      <c r="R27" s="9" t="inlineStr">
        <is>
          <t>Open</t>
        </is>
      </c>
      <c r="S27" s="9" t="inlineStr"/>
      <c r="T27" s="9" t="inlineStr"/>
      <c r="U27" s="9" t="inlineStr">
        <is>
          <t>Open</t>
        </is>
      </c>
      <c r="V27" s="9" t="inlineStr">
        <is>
          <t>Open — awaiting fix</t>
        </is>
      </c>
      <c r="W27" s="7" t="inlineStr"/>
    </row>
    <row r="28">
      <c r="A28" s="6" t="inlineStr">
        <is>
          <t>WC-047</t>
        </is>
      </c>
      <c r="B28" s="7" t="inlineStr">
        <is>
          <t>Backend concurrency sensitivity, quantified</t>
        </is>
      </c>
      <c r="C28" s="10" t="inlineStr">
        <is>
          <t>S2 Critical</t>
        </is>
      </c>
      <c r="D28" s="7" t="inlineStr">
        <is>
          <t>P2</t>
        </is>
      </c>
      <c r="E28" s="7" t="inlineStr">
        <is>
          <t>All personas / not role-specific</t>
        </is>
      </c>
      <c r="F28" s="7" t="inlineStr">
        <is>
          <t>no screen reaches this; see Steps</t>
        </is>
      </c>
      <c r="G28" s="7" t="inlineStr">
        <is>
          <t>Performance</t>
        </is>
      </c>
      <c r="H28" s="7" t="inlineStr">
        <is>
          <t>Phase 1</t>
        </is>
      </c>
      <c r="I28" s="7" t="inlineStr">
        <is>
          <t>UAT / dev (read-only)</t>
        </is>
      </c>
      <c r="J28" s="7" t="inlineStr">
        <is>
          <t>1. Drive the backend, driven at 3 then 5 concurrent sessions with several sessions at once, increasing concurrency step by step.
2. Record the HTTP status and response time at each level.
3. Note the point at which results stop being consistent.</t>
        </is>
      </c>
      <c r="K28" s="7" t="inlineStr">
        <is>
          <t>The endpoint responds within the expected load without degrading, and large result sets are paginated.</t>
        </is>
      </c>
      <c r="L28" s="7" t="inlineStr">
        <is>
          <t>five simultaneous users is not a load test. It is five members of staff working at the same moment, which any centre would exceed on a normal morning. The measured behaviour at that level is pages failing to render.</t>
        </is>
      </c>
      <c r="M28" s="7" t="inlineStr">
        <is>
          <t>Method: the identical 235-route sweep executed twice, differing only in the number of simultaneous sessions. Same routes, same assertions, same build, minutes apart. - Note on the two instability figures in this register: this table reports a controlled comparison of two single executions (3.4% at three sessions, 6.8% at five). The 3.0% quoted elsewhere is the rate across three consecutive executions at three sessions, which is the more reliable figure and the one used in the client documents. Both describe the platform; they differ in sample size.</t>
        </is>
      </c>
      <c r="N28" s="7" t="inlineStr">
        <is>
          <t>evidence/gate-probe-results.json · findings/findings-log.md -&gt; WC-047</t>
        </is>
      </c>
      <c r="O28" s="7" t="inlineStr">
        <is>
          <t>as for the finding above. Capacity is a deployment parameter rather than a code defect, but the failure *mode* is a defect: saturation should surface as 503, not 500 with a traceback. Size the pool against the measured dose-response and re-measure after any change to worker count.</t>
        </is>
      </c>
      <c r="P28" s="7" t="inlineStr">
        <is>
          <t>Verified — dose-response</t>
        </is>
      </c>
      <c r="Q28" s="7" t="inlineStr"/>
      <c r="R28" s="9" t="inlineStr">
        <is>
          <t>Open</t>
        </is>
      </c>
      <c r="S28" s="9" t="inlineStr"/>
      <c r="T28" s="9" t="inlineStr"/>
      <c r="U28" s="9" t="inlineStr">
        <is>
          <t>Open</t>
        </is>
      </c>
      <c r="V28" s="9" t="inlineStr">
        <is>
          <t>Open — awaiting fix</t>
        </is>
      </c>
      <c r="W28" s="7" t="inlineStr"/>
    </row>
    <row r="29">
      <c r="A29" s="6" t="inlineStr">
        <is>
          <t>WC-058</t>
        </is>
      </c>
      <c r="B29" s="7" t="inlineStr">
        <is>
          <t>An installed application is absent from the repositories handed over</t>
        </is>
      </c>
      <c r="C29" s="10" t="inlineStr">
        <is>
          <t>S2 Critical</t>
        </is>
      </c>
      <c r="D29" s="7" t="inlineStr">
        <is>
          <t>P2</t>
        </is>
      </c>
      <c r="E29" s="7" t="inlineStr">
        <is>
          <t>All personas / not role-specific</t>
        </is>
      </c>
      <c r="F29" s="7" t="inlineStr">
        <is>
          <t>no screen reaches this; see Steps</t>
        </is>
      </c>
      <c r="G29" s="7" t="inlineStr">
        <is>
          <t>Handover / configuration</t>
        </is>
      </c>
      <c r="H29" s="7" t="inlineStr">
        <is>
          <t>Phase 2</t>
        </is>
      </c>
      <c r="I29" s="7" t="inlineStr">
        <is>
          <t>Source review</t>
        </is>
      </c>
      <c r="J29" s="7" t="inlineStr">
        <is>
          <t>Inspection, not a runtime reproduction.
1. Open frappe.utils.change_log.get_versions.
2. Confirm what the Actual Result column describes is present (or absent).
3. Full reasoning is in findings/findings-log.md under WC-058.</t>
        </is>
      </c>
      <c r="K29" s="7" t="inlineStr">
        <is>
          <t>Everything needed to build and run the platform is present in the repositories the foundation owns.</t>
        </is>
      </c>
      <c r="L29" s="7" t="inlineStr">
        <is>
          <t>The platform as deployed cannot be rebuilt from the code the foundation owns. One installed component would be unavailable in a disaster recovery, a change of supplier, or a new environment build. The gap is one application rather than three, but the governance question is unchanged in kind.</t>
        </is>
      </c>
      <c r="M29" s="7" t="inlineStr">
        <is>
          <t>frappe.utils.change_log.get_versions, which enumerates the applications installed on the site, reports twelve:; Source; Applications; Obtainable; Framework; frappe 15.113.2 · erpnext 15.114.0 · insights 3.12.5; Yes — open source; WeConnect; the eight supplied backends; Yes; Vendor; fintoo_analytics_bridge; No fintoo_analytics_bridge exists in no repository in the foundation's GitHub organisation. The organisation holds eighteen repositories; none corresponds to it. It appears to belong to the development vendor.</t>
        </is>
      </c>
      <c r="N29" s="7" t="inlineStr">
        <is>
          <t>evidence/doctype-schemas.json · suite/probes/compare-environments.mjs · findings/findings-log.md -&gt; WC-058</t>
        </is>
      </c>
      <c r="O29" s="7" t="inlineStr">
        <is>
          <t>(1) establish who owns fintoo_analytics_bridge and obtain either the source or a written escrow undertaking. The platform cannot be rebuilt or fully audited without it; (2) declare required_apps in each app's hooks.py so the deployable set is recorded in code; (3) remove the orphaned Module Def records for apps that are not installed (hrms, mannlowe_support, materialized_view_builder), so the installed-application list stops disagreeing with itself.</t>
        </is>
      </c>
      <c r="P29" s="7" t="inlineStr">
        <is>
          <t>Verified — corrected 2026-09-20</t>
        </is>
      </c>
      <c r="Q29" s="7" t="inlineStr">
        <is>
          <t>2026-09-20</t>
        </is>
      </c>
      <c r="R29" s="9" t="inlineStr">
        <is>
          <t>Open</t>
        </is>
      </c>
      <c r="S29" s="9" t="inlineStr"/>
      <c r="T29" s="9" t="inlineStr"/>
      <c r="U29" s="9" t="inlineStr">
        <is>
          <t>Open</t>
        </is>
      </c>
      <c r="V29" s="9" t="inlineStr">
        <is>
          <t>Open — awaiting fix</t>
        </is>
      </c>
      <c r="W29" s="7" t="inlineStr"/>
    </row>
    <row r="30">
      <c r="A30" s="6" t="inlineStr">
        <is>
          <t>WC-069</t>
        </is>
      </c>
      <c r="B30" s="7" t="inlineStr">
        <is>
          <t>The permission model exists in no repository</t>
        </is>
      </c>
      <c r="C30" s="10" t="inlineStr">
        <is>
          <t>S2 Critical</t>
        </is>
      </c>
      <c r="D30" s="7" t="inlineStr">
        <is>
          <t>P2</t>
        </is>
      </c>
      <c r="E30" s="7" t="inlineStr">
        <is>
          <t>All personas / not role-specific</t>
        </is>
      </c>
      <c r="F30" s="7" t="inlineStr">
        <is>
          <t>no screen reaches this; see Steps</t>
        </is>
      </c>
      <c r="G30" s="7" t="inlineStr">
        <is>
          <t>Handover / configuration</t>
        </is>
      </c>
      <c r="H30" s="7" t="inlineStr">
        <is>
          <t>Phase 2</t>
        </is>
      </c>
      <c r="I30" s="7" t="inlineStr">
        <is>
          <t>Isolated stack (synthetic data)</t>
        </is>
      </c>
      <c r="J30" s="7" t="inlineStr">
        <is>
          <t>Inspection, not a runtime reproduction.
1. Open the Role Profile and DocPerm records — absent from all eighteen repositories.
2. Confirm what the Actual Result column describes is present (or absent).
3. Full reasoning is in findings/findings-log.md under WC-069.</t>
        </is>
      </c>
      <c r="K30" s="7" t="inlineStr">
        <is>
          <t>Everything needed to build and run the platform is present in the repositories the foundation owns.</t>
        </is>
      </c>
      <c r="L30" s="7" t="inlineStr">
        <is>
          <t>See the register entry for impact.</t>
        </is>
      </c>
      <c r="M30" s="7" t="inlineStr">
        <is>
          <t>of 297 doctype definitions across the eight applications, 182 carry permission rules and every one of them grants a single role: System Manager. The remaining 115 carry no permission rules at all. Not one doctype grants any WeConnect role. - No application defines a Role or Role Profile record. The declared fixtures export only Custom Field and Property Setter. - Yet the code refers to these roles 227 times — "Skilling Partner" alone appears 174 times.</t>
        </is>
      </c>
      <c r="N30" s="7" t="inlineStr">
        <is>
          <t>evidence/doctype-schemas.json · suite/probes/compare-environments.mjs · findings/findings-log.md -&gt; WC-069</t>
        </is>
      </c>
      <c r="O30" s="7" t="inlineStr">
        <is>
          <t>export the roles, role profiles and permission rules as app fixtures so they are versioned with the code that depends on them.</t>
        </is>
      </c>
      <c r="P30" s="7" t="inlineStr">
        <is>
          <t>Verified</t>
        </is>
      </c>
      <c r="Q30" s="7" t="inlineStr"/>
      <c r="R30" s="9" t="inlineStr">
        <is>
          <t>Open</t>
        </is>
      </c>
      <c r="S30" s="9" t="inlineStr"/>
      <c r="T30" s="9" t="inlineStr"/>
      <c r="U30" s="9" t="inlineStr">
        <is>
          <t>Open</t>
        </is>
      </c>
      <c r="V30" s="9" t="inlineStr">
        <is>
          <t>Open — awaiting fix</t>
        </is>
      </c>
      <c r="W30" s="7" t="inlineStr"/>
    </row>
    <row r="31">
      <c r="A31" s="6" t="inlineStr">
        <is>
          <t>WC-087</t>
        </is>
      </c>
      <c r="B31" s="7" t="inlineStr">
        <is>
          <t>Runtime configuration required to operate the platform is not in the repositories</t>
        </is>
      </c>
      <c r="C31" s="10" t="inlineStr">
        <is>
          <t>S2 Critical</t>
        </is>
      </c>
      <c r="D31" s="7" t="inlineStr">
        <is>
          <t>P2</t>
        </is>
      </c>
      <c r="E31" s="7" t="inlineStr">
        <is>
          <t>All personas / not role-specific</t>
        </is>
      </c>
      <c r="F31" s="7" t="inlineStr">
        <is>
          <t>no screen reaches this; see Steps</t>
        </is>
      </c>
      <c r="G31" s="7" t="inlineStr">
        <is>
          <t>Handover / configuration</t>
        </is>
      </c>
      <c r="H31" s="7" t="inlineStr">
        <is>
          <t>Phase 2</t>
        </is>
      </c>
      <c r="I31" s="7" t="inlineStr">
        <is>
          <t>UAT / dev (read-only)</t>
        </is>
      </c>
      <c r="J31" s="7" t="inlineStr">
        <is>
          <t>Inspection, not a runtime reproduction.
1. Open sites/common_site_config.json and the per-site site_config.json.
2. Confirm what the Actual Result column describes is present (or absent).
3. Full reasoning is in findings/findings-log.md under WC-087.</t>
        </is>
      </c>
      <c r="K31" s="7" t="inlineStr">
        <is>
          <t>Everything needed to build and run the platform is present in the repositories the foundation owns.</t>
        </is>
      </c>
      <c r="L31" s="7" t="inlineStr">
        <is>
          <t>This is the same class as the missing permission model and the missing vendor application: the foundation cannot rebuild a working platform from the code it owns. A disaster recovery would produce a system that installs cleanly and then fails the moment anyone tries to register a youth, with errors that name framework internals rather than the missing setup. The configuration — naming series, master data, roles, permissions — exists only as production database rows, unversioned and unreviewed.</t>
        </is>
      </c>
      <c r="M31" s="7" t="inlineStr">
        <is>
          <t>A pattern, now seen three times. Standing up the platform from its repositories produces a system that cannot perform its core flows until configuration that lives only in the production database is recreated by hand. Concretely, on a clean install: - Demonstrated, not asserted. create_pre_enquiry — a core Outreach Coordinator flow — returned HTTP 400 "Naming Series mandatory" on a clean install, because create_youth does not set a series and none is configured by default. Setting the series made the flow succeed. The stage and status failures were identical.</t>
        </is>
      </c>
      <c r="N31" s="7" t="inlineStr">
        <is>
          <t>evidence/doctype-schemas.json · suite/probes/compare-environments.mjs · findings/findings-log.md -&gt; WC-087</t>
        </is>
      </c>
      <c r="O31" s="7" t="inlineStr">
        <is>
          <t>ship this configuration as fixtures (Frappe's mechanism for exactly this) or as an install/after_migrate patch, so a fresh install is a working install. Some patches exist (placement status master data). The pattern should be extended to the naming series, stages, statuses, roles and role profiles the core flows require.</t>
        </is>
      </c>
      <c r="P31" s="7" t="inlineStr">
        <is>
          <t>Verified</t>
        </is>
      </c>
      <c r="Q31" s="7" t="inlineStr"/>
      <c r="R31" s="9" t="inlineStr">
        <is>
          <t>Open</t>
        </is>
      </c>
      <c r="S31" s="9" t="inlineStr"/>
      <c r="T31" s="9" t="inlineStr"/>
      <c r="U31" s="9" t="inlineStr">
        <is>
          <t>Open</t>
        </is>
      </c>
      <c r="V31" s="9" t="inlineStr">
        <is>
          <t>Open — awaiting fix</t>
        </is>
      </c>
      <c r="W31" s="7" t="inlineStr"/>
    </row>
    <row r="32">
      <c r="A32" s="6" t="inlineStr">
        <is>
          <t>WC-091</t>
        </is>
      </c>
      <c r="B32" s="7" t="inlineStr">
        <is>
          <t>Application code gates on roles that do not exist on a fresh install</t>
        </is>
      </c>
      <c r="C32" s="10" t="inlineStr">
        <is>
          <t>S2 Critical</t>
        </is>
      </c>
      <c r="D32" s="7" t="inlineStr">
        <is>
          <t>P2</t>
        </is>
      </c>
      <c r="E32" s="7" t="inlineStr">
        <is>
          <t>All personas / not role-specific</t>
        </is>
      </c>
      <c r="F32" s="7" t="inlineStr">
        <is>
          <t>no screen reaches this; see Steps</t>
        </is>
      </c>
      <c r="G32" s="7" t="inlineStr">
        <is>
          <t>Handover / configuration</t>
        </is>
      </c>
      <c r="H32" s="7" t="inlineStr">
        <is>
          <t>Phase 2</t>
        </is>
      </c>
      <c r="I32" s="7" t="inlineStr">
        <is>
          <t>UAT / dev (read-only)</t>
        </is>
      </c>
      <c r="J32" s="7" t="inlineStr">
        <is>
          <t>Inspection, not a runtime reproduction.
1. Open frappe.db.exists("Role", "Skilling Partner").
2. Confirm what the Actual Result column describes is present (or absent).
3. Full reasoning is in findings/findings-log.md under WC-091.</t>
        </is>
      </c>
      <c r="K32" s="7" t="inlineStr">
        <is>
          <t>Everything needed to build and run the platform is present in the repositories the foundation owns.</t>
        </is>
      </c>
      <c r="L32" s="7" t="inlineStr">
        <is>
          <t>See the register entry for impact.</t>
        </is>
      </c>
      <c r="M32" s="7" t="inlineStr">
        <is>
          <t>across the skilling application alone, endpoint logic branches on membership in named roles — "Skilling Partner" in user_roles (7×), "Skilling Manager" in user_roles (5×), "Center Head" in roles, "System Manager" and others. But on an instance built from the repositories, the persona roles do not exist: frappe.db.exists("Role", "Skilling Partner") is false, and no Role, Role Profile or role assignment for any persona is shipped in any app.</t>
        </is>
      </c>
      <c r="N32" s="7" t="inlineStr">
        <is>
          <t>evidence/doctype-schemas.json · suite/probes/compare-environments.mjs · findings/findings-log.md -&gt; WC-091</t>
        </is>
      </c>
      <c r="O32" s="7" t="inlineStr">
        <is>
          <t>ship the roles (and role profiles, and the permission rules that reference them) as fixtures, so a fresh install has the access-control model the code assumes.</t>
        </is>
      </c>
      <c r="P32" s="7" t="inlineStr">
        <is>
          <t>Verified</t>
        </is>
      </c>
      <c r="Q32" s="7" t="inlineStr"/>
      <c r="R32" s="9" t="inlineStr">
        <is>
          <t>Open</t>
        </is>
      </c>
      <c r="S32" s="9" t="inlineStr"/>
      <c r="T32" s="9" t="inlineStr"/>
      <c r="U32" s="9" t="inlineStr">
        <is>
          <t>Open</t>
        </is>
      </c>
      <c r="V32" s="9" t="inlineStr">
        <is>
          <t>Open — awaiting fix</t>
        </is>
      </c>
      <c r="W32" s="7" t="inlineStr"/>
    </row>
    <row r="33">
      <c r="A33" s="6" t="inlineStr">
        <is>
          <t>WC-092</t>
        </is>
      </c>
      <c r="B33" s="7" t="inlineStr">
        <is>
          <t>Several endpoints return 403 via the HTTP API for ALL callers, including Administrator, though the function works when invoked directly</t>
        </is>
      </c>
      <c r="C33" s="10" t="inlineStr">
        <is>
          <t>S2 Critical</t>
        </is>
      </c>
      <c r="D33" s="7" t="inlineStr">
        <is>
          <t>P2</t>
        </is>
      </c>
      <c r="E33" s="7" t="inlineStr">
        <is>
          <t>Outreach Coordinator, Facilitator and Counsellor, Skilling Youth Coordinator</t>
        </is>
      </c>
      <c r="F33" s="7" t="inlineStr">
        <is>
          <t>/fc/, /f</t>
        </is>
      </c>
      <c r="G33" s="7" t="inlineStr">
        <is>
          <t>Error handling</t>
        </is>
      </c>
      <c r="H33" s="7" t="inlineStr">
        <is>
          <t>Phase 2</t>
        </is>
      </c>
      <c r="I33" s="7" t="inlineStr">
        <is>
          <t>UAT / dev (read-only)</t>
        </is>
      </c>
      <c r="J33" s="7" t="inlineStr">
        <is>
          <t>1. Sign in as Administrator, the highest-privilege account available.
2. Call the affected endpoint over HTTP with valid arguments.
3. The call returns 403 even for Administrator, while the same function succeeds when invoked directly on the server.</t>
        </is>
      </c>
      <c r="K33" s="7" t="inlineStr">
        <is>
          <t>A 4xx response with a message the caller can act on. No stack trace and no HTTP 500.</t>
        </is>
      </c>
      <c r="L33" s="7" t="inlineStr">
        <is>
          <t>See the register entry for impact.</t>
        </is>
      </c>
      <c r="M33" s="7" t="inlineStr">
        <is>
          <t>facilitator_and_counsellor.api.counselling.actions.mark_as_dropoff The discrepancy. Called through the HTTP API as the owning persona, both return 403 PermissionError (a raw traceback, not the endpoint's own graceful "insufficient permission" message). But every operation the endpoint performs — has_permission("write"), the field update, doc.save() — succeeds when run directly as the same user with frappe.set_user.</t>
        </is>
      </c>
      <c r="N33" s="7" t="inlineStr">
        <is>
          <t>evidence/validation-probe-results.json · suite/probes/validation-probe.mjs · findings/findings-log.md -&gt; WC-092</t>
        </is>
      </c>
      <c r="O33" s="7" t="inlineStr">
        <is>
          <t>root-cause the rejection in the request-handling layer. Ruled out during investigation: payload format, HTTP verb, roles, centre scope and hooks — and the functions run correctly when invoked directly through bench, so the defect is not in the handler body. Until it is located, update_issue and mark_as_dropoff are unreachable over HTTP for every caller, which makes them both untestable and unusable by the frontends.</t>
        </is>
      </c>
      <c r="P33" s="7" t="inlineStr">
        <is>
          <t>Verified — runtime</t>
        </is>
      </c>
      <c r="Q33" s="7" t="inlineStr"/>
      <c r="R33" s="9" t="inlineStr">
        <is>
          <t>Open</t>
        </is>
      </c>
      <c r="S33" s="9" t="inlineStr"/>
      <c r="T33" s="9" t="inlineStr"/>
      <c r="U33" s="9" t="inlineStr">
        <is>
          <t>Open</t>
        </is>
      </c>
      <c r="V33" s="9" t="inlineStr">
        <is>
          <t>Open — awaiting fix</t>
        </is>
      </c>
      <c r="W33" s="7" t="inlineStr"/>
    </row>
    <row r="34">
      <c r="A34" s="6" t="inlineStr">
        <is>
          <t>WC-103</t>
        </is>
      </c>
      <c r="B34" s="7" t="inlineStr">
        <is>
          <t>Attendance cannot be recorded on an install built from the repositories: the code writes Youth Status values that ship nowhere</t>
        </is>
      </c>
      <c r="C34" s="10" t="inlineStr">
        <is>
          <t>S2 Critical</t>
        </is>
      </c>
      <c r="D34" s="7" t="inlineStr">
        <is>
          <t>P2</t>
        </is>
      </c>
      <c r="E34" s="7" t="inlineStr">
        <is>
          <t>All personas / not role-specific</t>
        </is>
      </c>
      <c r="F34" s="7" t="inlineStr">
        <is>
          <t>no screen reaches this; see Steps</t>
        </is>
      </c>
      <c r="G34" s="7" t="inlineStr">
        <is>
          <t>Handover / configuration</t>
        </is>
      </c>
      <c r="H34" s="7" t="inlineStr">
        <is>
          <t>Phase 2</t>
        </is>
      </c>
      <c r="I34" s="7" t="inlineStr">
        <is>
          <t>UAT / dev (read-only)</t>
        </is>
      </c>
      <c r="J34" s="7" t="inlineStr">
        <is>
          <t>Inspection, not a runtime reproduction.
1. Open youth_skilling/.../doctype/skilling_batch_attendance/skilling_batch_attendance.py:190, and the same pair of values in skilling_batch.py:292 and api/batch_management.py:5418.
2. Confirm what the Actual Result column describes is present (or absent).
3. Full reasoning is in findings/findings-log.md under WC-103.</t>
        </is>
      </c>
      <c r="K34" s="7" t="inlineStr">
        <is>
          <t>Everything needed to build and run the platform is present in the repositories the foundation owns.</t>
        </is>
      </c>
      <c r="L34" s="7" t="inlineStr">
        <is>
          <t>attendance. A core daily operation — cannot be recorded at all until two master records are created manually. This is not a cosmetic configuration gap: it is a functional blocker on any environment rebuilt from the code the foundation owns, and it is invisible until the first attendance save is attempted.</t>
        </is>
      </c>
      <c r="M34" s="7" t="inlineStr">
        <is>
          <t>creating any Skilling Batch Attendance fails with Could not find Status: Skilling Not Enrolled. (The message uses the field's *label*, "Status", not the doctype name Youth Status — which makes it actively misleading when diagnosing.) Creating the two missing Youth Status records by hand makes attendance work immediately: mark_attendance then succeeded and ground truth confirms the row (Skilling Attendance Table: 2026-08-05 / Present).</t>
        </is>
      </c>
      <c r="N34" s="7" t="inlineStr">
        <is>
          <t>evidence/doctype-schemas.json · suite/probes/compare-environments.mjs · findings/findings-log.md -&gt; WC-103</t>
        </is>
      </c>
      <c r="O34" s="7" t="inlineStr">
        <is>
          <t>ship the Youth Status master as app fixtures, including every value the code writes. A test that asserts each status literal in the codebase exists in the master would have caught this.</t>
        </is>
      </c>
      <c r="P34" s="7" t="inlineStr">
        <is>
          <t>Verified — runtime, root-caused</t>
        </is>
      </c>
      <c r="Q34" s="7" t="inlineStr"/>
      <c r="R34" s="9" t="inlineStr">
        <is>
          <t>Open</t>
        </is>
      </c>
      <c r="S34" s="9" t="inlineStr"/>
      <c r="T34" s="9" t="inlineStr"/>
      <c r="U34" s="9" t="inlineStr">
        <is>
          <t>Open</t>
        </is>
      </c>
      <c r="V34" s="9" t="inlineStr">
        <is>
          <t>Open — awaiting fix</t>
        </is>
      </c>
      <c r="W34" s="7" t="inlineStr"/>
    </row>
    <row r="35">
      <c r="A35" s="6" t="inlineStr">
        <is>
          <t>WC-106</t>
        </is>
      </c>
      <c r="B35" s="7" t="inlineStr">
        <is>
          <t>The environment -&gt; API mapping is shifted by one in every repository, and no configuration targets a production API</t>
        </is>
      </c>
      <c r="C35" s="10" t="inlineStr">
        <is>
          <t>S2 Critical</t>
        </is>
      </c>
      <c r="D35" s="7" t="inlineStr">
        <is>
          <t>P2</t>
        </is>
      </c>
      <c r="E35" s="7" t="inlineStr">
        <is>
          <t>Centre Head, Facilitator and Counsellor, Skilling Manager, Skilling Partner, Skilling Yout</t>
        </is>
      </c>
      <c r="F35" s="7" t="inlineStr">
        <is>
          <t>no screen reaches this; see Steps</t>
        </is>
      </c>
      <c r="G35" s="7" t="inlineStr">
        <is>
          <t>Data protection</t>
        </is>
      </c>
      <c r="H35" s="7" t="inlineStr">
        <is>
          <t>Phase 2</t>
        </is>
      </c>
      <c r="I35" s="7" t="inlineStr">
        <is>
          <t>UAT / dev (read-only)</t>
        </is>
      </c>
      <c r="J35" s="7" t="inlineStr">
        <is>
          <t>1. Sign in as Centre Head and note the permitted_centres in the login response.
2. Call .env.uat and .env.prod in all nine frontend repositories.
3. Compare the centre on every returned record against that permitted list.</t>
        </is>
      </c>
      <c r="K35" s="7" t="inlineStr">
        <is>
          <t>Only data the account is permitted to see is returned, and lower environments hold no real programme data.</t>
        </is>
      </c>
      <c r="L35" s="7" t="inlineStr">
        <is>
          <t>Every test result is attributed to the wrong environment, which is why this had to be settled before any assertion could mean anything. More seriously, if a production frontend is ever built from .env.prod, production traffic lands on UAT — the environment already shown to contain real programme data including minors' records. Whether such a build is deployed today is the one thing we cannot determine from outside; it needs a client answer.</t>
        </is>
      </c>
      <c r="M35" s="7" t="inlineStr">
        <is>
          <t>This supersedes and sharpens the earlier "UAT frontend calls the DEV backend API" finding, which recorded one symptom. The defect is uniform and it is committed. - Evidence. Every frontend repository plus the shared component library (9 of 9):</t>
        </is>
      </c>
      <c r="N35" s="7" t="inlineStr">
        <is>
          <t>evidence/data-shape.json · evidence/gate-probe-results.json · findings/findings-log.md -&gt; WC-106</t>
        </is>
      </c>
      <c r="O35" s="7" t="inlineStr">
        <is>
          <t>1. Correct the mapping so each environment's config names its own API, and add the missing production configuration. 2. Stop committing .env* files; supply them at build time. (Recorded separately as hygiene — contents are now inspected and contain no credentials, only URLs, so that finding stays S3.) 3. Retire or rename lcfuat.ash.frappe.cloud so one name denotes one environment. 4. Confirm which frontends are deployed from which config today.</t>
        </is>
      </c>
      <c r="P35" s="7" t="inlineStr">
        <is>
          <t>Verified — source, all 9 frontend repositories; hosts confirmed distinct at runtime via DNS and probe</t>
        </is>
      </c>
      <c r="Q35" s="7" t="inlineStr"/>
      <c r="R35" s="9" t="inlineStr">
        <is>
          <t>Open</t>
        </is>
      </c>
      <c r="S35" s="9" t="inlineStr"/>
      <c r="T35" s="9" t="inlineStr"/>
      <c r="U35" s="9" t="inlineStr">
        <is>
          <t>Open</t>
        </is>
      </c>
      <c r="V35" s="9" t="inlineStr">
        <is>
          <t>Open — awaiting fix</t>
        </is>
      </c>
      <c r="W35" s="7" t="inlineStr"/>
    </row>
    <row r="36">
      <c r="A36" s="6" t="inlineStr">
        <is>
          <t>WC-110</t>
        </is>
      </c>
      <c r="B36" s="7" t="inlineStr">
        <is>
          <t>A ninth persona is routed to an application that does not exist, and a tenth role was never inventoried</t>
        </is>
      </c>
      <c r="C36" s="10" t="inlineStr">
        <is>
          <t>S2 Critical</t>
        </is>
      </c>
      <c r="D36" s="7" t="inlineStr">
        <is>
          <t>P2</t>
        </is>
      </c>
      <c r="E36" s="7" t="inlineStr">
        <is>
          <t>Outreach Coordinator, Centre Head, Facilitator and Counsellor, Skilling Manager, Skilling</t>
        </is>
      </c>
      <c r="F36" s="7" t="inlineStr">
        <is>
          <t>no screen reaches this; see Steps</t>
        </is>
      </c>
      <c r="G36" s="7" t="inlineStr">
        <is>
          <t>API contract</t>
        </is>
      </c>
      <c r="H36" s="7" t="inlineStr">
        <is>
          <t>Phase 2</t>
        </is>
      </c>
      <c r="I36" s="7" t="inlineStr">
        <is>
          <t>Source review</t>
        </is>
      </c>
      <c r="J36" s="7" t="inlineStr">
        <is>
          <t>1. Sign in as Outreach Coordinator and open /oc/ with the browser network tab open.
2. Find the failing request in the network log.
3. Note its URL and status code.</t>
        </is>
      </c>
      <c r="K36" s="7" t="inlineStr">
        <is>
          <t>The endpoint the screen calls exists on the deployed build and returns its data.</t>
        </is>
      </c>
      <c r="L36" s="7" t="inlineStr">
        <is>
          <t>If any such account exists in production, that user cannot use the platform at all — login succeeds and then sends them nowhere. If no such account exists, the backend carries a fully-wired persona with no way to reach it, and the routing table advertises a destination that was never built. Either way the persona inventory the platform implements and the one it ships do not agree. - Trainer is a second gap, of a different kind. It is a distinct role profile routed to the Skilling Partner application, and the backend treats it specially — get_user_permitted_centres() scopes Trainers by the partners that list them, because a Trainer has no partner_email_id of its own. This engagement tested sp but never a Trainer, so that scoping path is unexercised.</t>
        </is>
      </c>
      <c r="M36" s="7" t="inlineStr">
        <is>
          <t>If any such account exists in production, that user cannot use the platform at all — login succeeds and then sends them nowhere. If no such account exists, the backend carries a fully-wired persona with no way to reach it, and the routing table advertises a destination that was never built. Either way the persona inventory the platform implements and the one it ships do not agree. - Trainer is a second gap, of a different kind. It is a distinct role profile routed to the Skilling Partner application, and the backend treats it specially — get_user_permitted_centres() scopes Trainers by the partners that list them, because a Trainer has no partner_email_id of its own. This engagement tested sp but never a Trainer, so that scoping path is unexercised.</t>
        </is>
      </c>
      <c r="N36" s="7" t="inlineStr">
        <is>
          <t>evidence/write-surface-classified.json · findings/findings-log.md -&gt; WC-110</t>
        </is>
      </c>
      <c r="O36" s="7" t="inlineStr">
        <is>
          <t>1. Decide whether Placement Youth Coordinator is a live persona. If it is, the /pyc/ application is missing and must be built; if it is not, remove it from the routing table, the helper mappings and the approval patches so the code stops advertising it. 2. Make the routing table fail loudly. An unmapped or unbuilt destination should show an error, not redirect a user into a void. 3. Confirm whether any production account holds the Placement Youth Coordinator or Trainer role profile; both change the tested surface. - [DECISION for the client] Is Placement Youth Coordinator in scope for QA, and does a /pyc/ application exist anywhere outside the repositories we were given?</t>
        </is>
      </c>
      <c r="P36" s="7" t="inlineStr">
        <is>
          <t>Verified — source, auth application routing table + backend + repository listing</t>
        </is>
      </c>
      <c r="Q36" s="7" t="inlineStr"/>
      <c r="R36" s="9" t="inlineStr">
        <is>
          <t>Open</t>
        </is>
      </c>
      <c r="S36" s="9" t="inlineStr"/>
      <c r="T36" s="9" t="inlineStr"/>
      <c r="U36" s="9" t="inlineStr">
        <is>
          <t>Open</t>
        </is>
      </c>
      <c r="V36" s="9" t="inlineStr">
        <is>
          <t>Open — awaiting fix</t>
        </is>
      </c>
      <c r="W36" s="7" t="inlineStr"/>
    </row>
    <row r="37">
      <c r="A37" s="6" t="inlineStr">
        <is>
          <t>WC-111</t>
        </is>
      </c>
      <c r="B37" s="7" t="inlineStr">
        <is>
          <t>Approval flows reference at least 15 Approval Categories by literal name, and none of them ship</t>
        </is>
      </c>
      <c r="C37" s="10" t="inlineStr">
        <is>
          <t>S2 Critical</t>
        </is>
      </c>
      <c r="D37" s="7" t="inlineStr">
        <is>
          <t>P2</t>
        </is>
      </c>
      <c r="E37" s="7" t="inlineStr">
        <is>
          <t>All personas / not role-specific</t>
        </is>
      </c>
      <c r="F37" s="7" t="inlineStr">
        <is>
          <t>no screen reaches this; see Steps</t>
        </is>
      </c>
      <c r="G37" s="7" t="inlineStr">
        <is>
          <t>Handover / configuration</t>
        </is>
      </c>
      <c r="H37" s="7" t="inlineStr">
        <is>
          <t>Phase 2</t>
        </is>
      </c>
      <c r="I37" s="7" t="inlineStr">
        <is>
          <t>Source review</t>
        </is>
      </c>
      <c r="J37" s="7" t="inlineStr">
        <is>
          <t>Inspection, not a runtime reproduction.
1. Open the fifteen Approval Category names the approval flows reference as literals.
2. Confirm what the Actual Result column describes is present (or absent).
3. Full reasoning is in findings/findings-log.md under WC-111.</t>
        </is>
      </c>
      <c r="K37" s="7" t="inlineStr">
        <is>
          <t>Everything needed to build and run the platform is present in the repositories the foundation owns.</t>
        </is>
      </c>
      <c r="L37" s="7" t="inlineStr">
        <is>
          <t>See the register entry for impact.</t>
        </is>
      </c>
      <c r="M37" s="7" t="inlineStr">
        <is>
          <t>Found by rebuilding the environment from nothing and driving the suite against it. It is the same class as the Youth Status defect, and the two together show the pattern is not a one-off. - The mechanism. Approval.validate_approval_category() (centre_head/.../doctype/approval/approval.py:103-111) rejects any approval whose category does not exist with a matching ref_doc:</t>
        </is>
      </c>
      <c r="N37" s="7" t="inlineStr">
        <is>
          <t>evidence/doctype-schemas.json · suite/probes/compare-environments.mjs · findings/findings-log.md -&gt; WC-111</t>
        </is>
      </c>
      <c r="O37" s="7" t="inlineStr">
        <is>
          <t>ship the Approval Category records as app fixtures, one per literal the code references, each with the correct ref_doc. Then replace the string literals with module-level constants so a typo is a failure at import rather than a runtime throw, and reconcile the Another/another pair. A test that asserts every literal resolves to an existing category would keep the two in step. --- # Security coverage gap review against OWASP API Security Top 10 (2026-09-22)</t>
        </is>
      </c>
      <c r="P37" s="7" t="inlineStr">
        <is>
          <t>Verified — source + clean install, 2026-09-20</t>
        </is>
      </c>
      <c r="Q37" s="7" t="inlineStr">
        <is>
          <t>2026-09-20</t>
        </is>
      </c>
      <c r="R37" s="9" t="inlineStr">
        <is>
          <t>Open</t>
        </is>
      </c>
      <c r="S37" s="9" t="inlineStr"/>
      <c r="T37" s="9" t="inlineStr"/>
      <c r="U37" s="9" t="inlineStr">
        <is>
          <t>Open</t>
        </is>
      </c>
      <c r="V37" s="9" t="inlineStr">
        <is>
          <t>Open — awaiting fix</t>
        </is>
      </c>
      <c r="W37" s="7" t="inlineStr"/>
    </row>
    <row r="38">
      <c r="A38" s="6" t="inlineStr">
        <is>
          <t>WC-112</t>
        </is>
      </c>
      <c r="B38" s="7" t="inlineStr">
        <is>
          <t>The frontend is served with no security headers at all</t>
        </is>
      </c>
      <c r="C38" s="10" t="inlineStr">
        <is>
          <t>S2 Critical</t>
        </is>
      </c>
      <c r="D38" s="7" t="inlineStr">
        <is>
          <t>P2</t>
        </is>
      </c>
      <c r="E38" s="7" t="inlineStr">
        <is>
          <t>no account required (unauthenticated)</t>
        </is>
      </c>
      <c r="F38" s="7" t="inlineStr">
        <is>
          <t>no screen reaches this; see Steps</t>
        </is>
      </c>
      <c r="G38" s="7" t="inlineStr">
        <is>
          <t>Security configuration</t>
        </is>
      </c>
      <c r="H38" s="7" t="inlineStr">
        <is>
          <t>Phase 2</t>
        </is>
      </c>
      <c r="I38" s="7" t="inlineStr">
        <is>
          <t>UAT / dev (read-only)</t>
        </is>
      </c>
      <c r="J38" s="7" t="inlineStr">
        <is>
          <t>1. No sign-in needed for the header checks.
2. Issue the request described in the Actual Result column against the deployed host.
3. Inspect the response headers (or the cookie attributes) rather than the body.
4. Fastest route: node verify/run.mjs --only WC-112</t>
        </is>
      </c>
      <c r="K38" s="7" t="inlineStr">
        <is>
          <t>The protective setting is in place and the unsafe request is refused.</t>
        </is>
      </c>
      <c r="L38" s="7" t="inlineStr">
        <is>
          <t>See the register entry for impact.</t>
        </is>
      </c>
      <c r="M38" s="7" t="inlineStr">
        <is>
          <t>HEAD https://uat.lighthouseconnect.org/ returns, in full: Server: nginx/1.24.0 (Ubuntu), Date, Content-Type, Content-Length, Connection, Last-Modified, ETag, Accept-Ranges. None of the following is present:; Header; Absent; What it would prevent; Content-Security-Policy; yes; Cross-site scripting, and exfiltration of anything readable from the page; Strict-Transport-Security; yes; Protocol downgrade, cookie/token interception on first request; X-Frame-Options / frame-ancestors; yes; Clickjacking; X-Content-Type-Options; yes; MIME-type confusion; Referrer-Policy; yes; Leaking authenticated URLs to third parties; Permissions-Policy; yes; Unwanted access to camera, microphone, geolocation.</t>
        </is>
      </c>
      <c r="N38" s="7" t="inlineStr">
        <is>
          <t>verify/run.mjs · re-check: node verify/run.mjs --only WC-112 · findings/findings-log.md -&gt; WC-112</t>
        </is>
      </c>
      <c r="O38" s="7" t="inlineStr">
        <is>
          <t>add the headers at the nginx layer serving the frontend. A reasonable starting set is Strict-Transport-Security with a long max-age, X-Content-Type-Options: nosniff, Referrer-Policy: strict-origin-when-cross-origin, X-Frame-Options: DENY (or a CSP frame-ancestors directive), and a Content-Security-Policy developed in report-only mode first so it can be tuned without breaking the applications. Moving the session off localStorage and onto the httpOnly cookie the API already issues would remove the underlying exposure.</t>
        </is>
      </c>
      <c r="P38" s="7" t="inlineStr">
        <is>
          <t>Verified — live, read-only</t>
        </is>
      </c>
      <c r="Q38" s="7" t="inlineStr"/>
      <c r="R38" s="9" t="inlineStr">
        <is>
          <t>Open</t>
        </is>
      </c>
      <c r="S38" s="9" t="inlineStr"/>
      <c r="T38" s="9" t="inlineStr"/>
      <c r="U38" s="9" t="inlineStr">
        <is>
          <t>Open — re-checked 2026-09-25, still present</t>
        </is>
      </c>
      <c r="V38" s="9" t="inlineStr">
        <is>
          <t>Still present on api-dev — no security headers</t>
        </is>
      </c>
      <c r="W38" s="7" t="inlineStr">
        <is>
          <t>node verify/run.mjs --only WC-112</t>
        </is>
      </c>
    </row>
    <row r="39">
      <c r="A39" s="6" t="inlineStr">
        <is>
          <t>WC-118</t>
        </is>
      </c>
      <c r="B39" s="7" t="inlineStr">
        <is>
          <t>No rate limiting on authenticated API requests, on a backend that fails at five concurrent sessions</t>
        </is>
      </c>
      <c r="C39" s="10" t="inlineStr">
        <is>
          <t>S2 Critical</t>
        </is>
      </c>
      <c r="D39" s="7" t="inlineStr">
        <is>
          <t>P2</t>
        </is>
      </c>
      <c r="E39" s="7" t="inlineStr">
        <is>
          <t>Skilling Manager, Skilling Partner, Skilling Youth Coordinator, Placement Manager</t>
        </is>
      </c>
      <c r="F39" s="7" t="inlineStr">
        <is>
          <t>/sm/, /sm/add-course, /sm/add-skilling-partner, /sp/approvals, /sp/assessment, /sp/assignment, /syc/assign-skilling-reco</t>
        </is>
      </c>
      <c r="G39" s="7" t="inlineStr">
        <is>
          <t>Security configuration</t>
        </is>
      </c>
      <c r="H39" s="7" t="inlineStr">
        <is>
          <t>Phase 2 (security)</t>
        </is>
      </c>
      <c r="I39" s="7" t="inlineStr">
        <is>
          <t>Source review</t>
        </is>
      </c>
      <c r="J39" s="7" t="inlineStr">
        <is>
          <t>1. No sign-in needed for the header checks.
2. Issue the request described in the Actual Result column against the deployed host.
3. Inspect the response headers (or the cookie attributes) rather than the body.
4. Fastest route: node verify/run.mjs --only WC-118</t>
        </is>
      </c>
      <c r="K39" s="7" t="inlineStr">
        <is>
          <t>The protective setting is in place and the unsafe request is refused.</t>
        </is>
      </c>
      <c r="L39" s="7" t="inlineStr">
        <is>
          <t>See the register entry for impact.</t>
        </is>
      </c>
      <c r="M39" s="7" t="inlineStr">
        <is>
          <t>Forty consecutive authenticated requests to youth_skilling.api.utils.get_training_center_list returned HTTP 200 every time. No 429, no Retry-After, no throttling of any kind.</t>
        </is>
      </c>
      <c r="N39" s="7" t="inlineStr">
        <is>
          <t>verify/run.mjs · findings/findings-log.md -&gt; WC-118</t>
        </is>
      </c>
      <c r="O39" s="7" t="inlineStr">
        <is>
          <t>apply per-account and per-IP rate limits at the API gateway or in Frappe's own rate-limiting configuration, sized against the concurrency the backend can actually sustain rather than against a theoretical ceiling. Paginate get_youth_list. The concurrency defect should be addressed as well, but rate limiting is the control that bounds the damage while it is outstanding.</t>
        </is>
      </c>
      <c r="P39" s="7" t="inlineStr">
        <is>
          <t>Verified — runtime</t>
        </is>
      </c>
      <c r="Q39" s="7" t="inlineStr"/>
      <c r="R39" s="9" t="inlineStr">
        <is>
          <t>Open</t>
        </is>
      </c>
      <c r="S39" s="9" t="inlineStr"/>
      <c r="T39" s="9" t="inlineStr"/>
      <c r="U39" s="9" t="inlineStr">
        <is>
          <t>Open</t>
        </is>
      </c>
      <c r="V39" s="9" t="inlineStr">
        <is>
          <t>Open — awaiting fix</t>
        </is>
      </c>
      <c r="W39" s="7" t="inlineStr"/>
    </row>
    <row r="40">
      <c r="A40" s="6" t="inlineStr">
        <is>
          <t>WC-122</t>
        </is>
      </c>
      <c r="B40" s="7" t="inlineStr">
        <is>
          <t>add_interest writes any field the caller sends, and saves with permissions switched off</t>
        </is>
      </c>
      <c r="C40" s="10" t="inlineStr">
        <is>
          <t>S2 Critical</t>
        </is>
      </c>
      <c r="D40" s="7" t="inlineStr">
        <is>
          <t>P2</t>
        </is>
      </c>
      <c r="E40" s="7" t="inlineStr">
        <is>
          <t>Facilitator and Counsellor</t>
        </is>
      </c>
      <c r="F40" s="7" t="inlineStr">
        <is>
          <t>no screen reaches this; see Steps</t>
        </is>
      </c>
      <c r="G40" s="7" t="inlineStr">
        <is>
          <t>Authorisation</t>
        </is>
      </c>
      <c r="H40" s="7" t="inlineStr">
        <is>
          <t>Phase 2 (security)</t>
        </is>
      </c>
      <c r="I40" s="7" t="inlineStr">
        <is>
          <t>Isolated stack (synthetic data)</t>
        </is>
      </c>
      <c r="J40" s="7" t="inlineStr">
        <is>
          <t>1. Sign in as Facilitator and Counsellor.
2. Call batch_management/batch_management/api/fc/youth_interest.py:198 add_interest with the fields it documents PLUS one it never mentions.
3. Read the record back from the database and check whether the undeclared field was written.</t>
        </is>
      </c>
      <c r="K40" s="7" t="inlineStr">
        <is>
          <t>Only the fields the endpoint declares are written. Any other field in the payload is rejected.</t>
        </is>
      </c>
      <c r="L40" s="7" t="inlineStr">
        <is>
          <t>See the register entry for impact.</t>
        </is>
      </c>
      <c r="M40" s="7" t="inlineStr">
        <is>
          <t>REQD_FIELDS = ("interested_course", "interested_job_role", ...) for i in REQD_FIELDS: if i not in data: ...return # checks these fields are PRESENT ... youth = frappe.get_doc("Youth", youth) youth.update(data) # writes EVERY key the caller sent youth.save(ignore_permissions=True) # no framework permission check REQD_FIELDS is a presence check. Nothing rejects keys that are not in it, so youth.update(data) applies the caller's whole dictionary to the Youth record.</t>
        </is>
      </c>
      <c r="N40" s="7" t="inlineStr">
        <is>
          <t>suite/probes/mass-assignment-probe.mjs · suite/probes/mass_assignment_scan.py · re-check: node verify/run.mjs --only WC-122 · findings/findings-log.md -&gt; WC-122</t>
        </is>
      </c>
      <c r="O40" s="7" t="inlineStr">
        <is>
          <t>Reject unknown keys before the write, the way youth_skilling/api/skilling_issue.py update_issue already does in this same codebase: for field in data: if field not in EDITABLE_FIELDS: ...reject Then remove ignore_permissions=True so the framework check applies, or state in the code why it has to be bypassed.</t>
        </is>
      </c>
      <c r="P40" s="7" t="inlineStr">
        <is>
          <t>Verified — reproduced against the isolated stack</t>
        </is>
      </c>
      <c r="Q40" s="7" t="inlineStr"/>
      <c r="R40" s="9" t="inlineStr">
        <is>
          <t>Open</t>
        </is>
      </c>
      <c r="S40" s="9" t="inlineStr"/>
      <c r="T40" s="9" t="inlineStr"/>
      <c r="U40" s="9" t="inlineStr">
        <is>
          <t>Open — re-checked 2026-09-25, still present</t>
        </is>
      </c>
      <c r="V40" s="9" t="inlineStr">
        <is>
          <t>Materially improved — RUNTIME 2026-10-20: add_interest rejects undeclared fields; 23/28 mass-assignment sites now allowlist-guarded (was ~10); 5 remain unguarded</t>
        </is>
      </c>
      <c r="W40" s="7" t="inlineStr">
        <is>
          <t>node verify/run.mjs --only WC-122</t>
        </is>
      </c>
    </row>
    <row r="41">
      <c r="A41" s="6" t="inlineStr">
        <is>
          <t>WC-125</t>
        </is>
      </c>
      <c r="B41" s="7" t="inlineStr">
        <is>
          <t>Fields accept values that contradict themselves: negative ages, future birth dates, capacity floors above ceilings, negative costs</t>
        </is>
      </c>
      <c r="C41" s="10" t="inlineStr">
        <is>
          <t>S2 Critical</t>
        </is>
      </c>
      <c r="D41" s="7" t="inlineStr">
        <is>
          <t>P2</t>
        </is>
      </c>
      <c r="E41" s="7" t="inlineStr">
        <is>
          <t>All personas / not role-specific</t>
        </is>
      </c>
      <c r="F41" s="7" t="inlineStr">
        <is>
          <t>no screen reaches this; see Steps</t>
        </is>
      </c>
      <c r="G41" s="7" t="inlineStr">
        <is>
          <t>Input validation</t>
        </is>
      </c>
      <c r="H41" s="7" t="inlineStr">
        <is>
          <t>Phase 2 (security)</t>
        </is>
      </c>
      <c r="I41" s="7" t="inlineStr">
        <is>
          <t>Isolated stack (synthetic data)</t>
        </is>
      </c>
      <c r="J41" s="7" t="inlineStr">
        <is>
          <t>1. Sign in as an authenticated staff account.
2. Submit Enquiry Form age and dob, Skilling Batch minimum/maximum_capacity, Skilling Invoice money fields with a value that is impossible rather than merely malformed — a negative age, a future date of birth, a capacity floor above its ceiling.
3. Read the record back and check whether the value was stored.</t>
        </is>
      </c>
      <c r="K41" s="7" t="inlineStr">
        <is>
          <t>The value is rejected with HTTP 400 and a message naming the field, and nothing is stored.</t>
        </is>
      </c>
      <c r="L41" s="7" t="inlineStr">
        <is>
          <t>See the register entry for impact.</t>
        </is>
      </c>
      <c r="M41" s="7" t="inlineStr">
        <is>
          <t>Found by adding boundary-value analysis, which the engagement had not previously covered. The earlier validation probe tested wrong *classes* of input — a string where a number belongs, a missing field. It never tested values of the right type that are impossible in context. Why this can be reported before the characterisation baseline is signed. These are not cases where correct behaviour is a matter of opinion. A negative age, a birth date in the future, a minimum capacity above the maximum, and a negative course cost are wrong on their own terms. No baseline is needed to say so.</t>
        </is>
      </c>
      <c r="N41" s="7" t="inlineStr">
        <is>
          <t>suite/probes/ · suite/probes/chained-boundary-probe.mjs · evidence/validation-probe-results.json · suite/probes/boundary_probe.py · re-check: node verify/run.mjs --only WC-125 · findings/findings-log.md -&gt; WC-125</t>
        </is>
      </c>
      <c r="O41" s="7" t="inlineStr">
        <is>
          <t>Put the constraint on the doctype, not in each endpoint, so every write path inherits it: a validate method rejecting negative or absurd ages, birth dates outside a plausible range, capacity inversions, and negative or out-of-range money and percentage values. Frappe supports this directly, and non_negative is available on numeric fields for the simplest of them.</t>
        </is>
      </c>
      <c r="P41" s="7" t="inlineStr">
        <is>
          <t>Verified — reproduced against the isolated stack</t>
        </is>
      </c>
      <c r="Q41" s="7" t="inlineStr"/>
      <c r="R41" s="9" t="inlineStr">
        <is>
          <t>Open</t>
        </is>
      </c>
      <c r="S41" s="9" t="inlineStr"/>
      <c r="T41" s="9" t="inlineStr"/>
      <c r="U41" s="9" t="inlineStr">
        <is>
          <t>Open — re-checked 2026-09-25, still present</t>
        </is>
      </c>
      <c r="V41" s="9" t="inlineStr">
        <is>
          <t>Still present — RUNTIME 2026-10-20: 5/12 contradictory values stored (negative/inverted capacity, 150% and -20% installment, negative cost); future DOB now rejected</t>
        </is>
      </c>
      <c r="W41" s="7" t="inlineStr">
        <is>
          <t>node verify/run.mjs --only WC-125</t>
        </is>
      </c>
    </row>
    <row r="42">
      <c r="A42" s="6" t="inlineStr">
        <is>
          <t>WC-126</t>
        </is>
      </c>
      <c r="B42" s="7" t="inlineStr">
        <is>
          <t>No state-transition control exists: every status can move to every other status, including financial reversals</t>
        </is>
      </c>
      <c r="C42" s="10" t="inlineStr">
        <is>
          <t>S2 Critical</t>
        </is>
      </c>
      <c r="D42" s="7" t="inlineStr">
        <is>
          <t>P2</t>
        </is>
      </c>
      <c r="E42" s="7" t="inlineStr">
        <is>
          <t>All personas / not role-specific</t>
        </is>
      </c>
      <c r="F42" s="7" t="inlineStr">
        <is>
          <t>no screen reaches this; see Steps</t>
        </is>
      </c>
      <c r="G42" s="7" t="inlineStr">
        <is>
          <t>Workflow / state</t>
        </is>
      </c>
      <c r="H42" s="7" t="inlineStr">
        <is>
          <t>Phase 2 (security)</t>
        </is>
      </c>
      <c r="I42" s="7" t="inlineStr">
        <is>
          <t>Isolated stack (synthetic data)</t>
        </is>
      </c>
      <c r="J42" s="7" t="inlineStr">
        <is>
          <t>1. Pick a record with a status field (for example a Skilling Invoice).
2. Set its status to one value and save.
3. Set it to a value the workflow should not allow from there (for example Paid back to Not Raised Yet) and save.
4. Read the status back.</t>
        </is>
      </c>
      <c r="K42" s="7" t="inlineStr">
        <is>
          <t>A transition the workflow does not allow is refused, and the record keeps its previous status.</t>
        </is>
      </c>
      <c r="L42" s="7" t="inlineStr">
        <is>
          <t>See the register entry for impact.</t>
        </is>
      </c>
      <c r="M42" s="7" t="inlineStr">
        <is>
          <t>Found by adding systematic state-transition testing, which the engagement had not previously covered. The earlier lifecycle and state-boundary probes tested individual journeys; neither enumerated the full transition matrix. Why this can be reported before the characterisation baseline is signed. We are not asserting which transitions the foundation intends to allow. We are reporting that the platform permits all of them, which means no intended model is being enforced anywhere. That is a structural fact about the system, not a judgement about correct behaviour.</t>
        </is>
      </c>
      <c r="N42" s="7" t="inlineStr">
        <is>
          <t>suite/probes/ · suite/probes/state_transition_probe.py · evidence/state-boundary-results.json · re-check: node verify/run.mjs --only WC-126 · findings/findings-log.md -&gt; WC-126</t>
        </is>
      </c>
      <c r="O42" s="7" t="inlineStr">
        <is>
          <t>Define the permitted transitions once, on the doctype, so every write path inherits them. Frappe ships a Workflow facility for exactly this, and it also provides the transition history and approval steps that the invoice states in particular need. Where a full workflow is too heavy, a validate method comparing the new status against the previous value is enough to refuse the impossible moves.</t>
        </is>
      </c>
      <c r="P42" s="7" t="inlineStr">
        <is>
          <t>Verified — reproduced against the isolated stack</t>
        </is>
      </c>
      <c r="Q42" s="7" t="inlineStr"/>
      <c r="R42" s="9" t="inlineStr">
        <is>
          <t>Open</t>
        </is>
      </c>
      <c r="S42" s="9" t="inlineStr"/>
      <c r="T42" s="9" t="inlineStr"/>
      <c r="U42" s="9" t="inlineStr">
        <is>
          <t>Open — re-checked 2026-09-25, still present</t>
        </is>
      </c>
      <c r="V42" s="9" t="inlineStr">
        <is>
          <t>Still present — RUNTIME 2026-10-20: Skilling Invoice 30/30 and Skilling Batch 72/72 status transitions all accepted (no state machine)</t>
        </is>
      </c>
      <c r="W42" s="7" t="inlineStr">
        <is>
          <t>node verify/run.mjs --only WC-126</t>
        </is>
      </c>
    </row>
    <row r="43">
      <c r="A43" s="6" t="inlineStr">
        <is>
          <t>WC-128</t>
        </is>
      </c>
      <c r="B43" s="7" t="inlineStr">
        <is>
          <t>The password-reset request, including the new plaintext password and the OTP, is written to the browser console in five applications</t>
        </is>
      </c>
      <c r="C43" s="10" t="inlineStr">
        <is>
          <t>S2 Critical</t>
        </is>
      </c>
      <c r="D43" s="7" t="inlineStr">
        <is>
          <t>P2</t>
        </is>
      </c>
      <c r="E43" s="7" t="inlineStr">
        <is>
          <t>any persona that can reset a password</t>
        </is>
      </c>
      <c r="F43" s="7" t="inlineStr">
        <is>
          <t>the Reset Password screen in each of the five apps</t>
        </is>
      </c>
      <c r="G43" s="7" t="inlineStr">
        <is>
          <t>Authentication / session</t>
        </is>
      </c>
      <c r="H43" s="7" t="inlineStr">
        <is>
          <t>Phase 2 (security)</t>
        </is>
      </c>
      <c r="I43" s="7" t="inlineStr">
        <is>
          <t>Source review</t>
        </is>
      </c>
      <c r="J43" s="7" t="inlineStr">
        <is>
          <t>1. Open any of the five apps (auth, frontend, ch, pm, sm) and start a password reset.
2. Open the browser console (F12) before submitting the new password.
3. Submit the reset. The console prints an object labelled "payload for reset password" containing email, otp, passwd and cnf_passwd in clear text.</t>
        </is>
      </c>
      <c r="K43" s="7" t="inlineStr">
        <is>
          <t>No credential, password or OTP is ever written to the browser console.</t>
        </is>
      </c>
      <c r="L43" s="7" t="inlineStr">
        <is>
          <t>A password typed during reset is the one credential a user believes was never transmitted in clear. The console is read by browser extensions, retained in screen recordings and support sessions, and collected by some error tools; one of these apps configures a Sentry DSN, so console breadcrumbs may leave the browser entirely.</t>
        </is>
      </c>
      <c r="M43" s="7" t="inlineStr">
        <is>
          <t>src/api/forget-password/forget-password-api.js logs the full reset payload via console.log in five repositories: weconnect-frontend-auth, weconnect-frontend, -ch, -pm, -sm.</t>
        </is>
      </c>
      <c r="N43" s="7" t="inlineStr">
        <is>
          <t>source: forget-password-api.js in 5 repos · findings/findings-log.md -&gt; WC-128</t>
        </is>
      </c>
      <c r="O43" s="7" t="inlineStr">
        <is>
          <t>Delete the console.log line in all five files (single-line removal, no behavioural effect). Then add a production console strip — Vite esbuild.drop: ["console"] or an eslint no-console rule — because there are 837 console calls across the frontends and this will otherwise recur.</t>
        </is>
      </c>
      <c r="P43" s="7" t="inlineStr">
        <is>
          <t>Verified — source</t>
        </is>
      </c>
      <c r="Q43" s="7" t="inlineStr">
        <is>
          <t>2026-10-06</t>
        </is>
      </c>
      <c r="R43" s="9" t="inlineStr">
        <is>
          <t>Open</t>
        </is>
      </c>
      <c r="S43" s="9" t="inlineStr"/>
      <c r="T43" s="9" t="inlineStr"/>
      <c r="U43" s="9" t="inlineStr">
        <is>
          <t>Open</t>
        </is>
      </c>
      <c r="V43" s="9" t="inlineStr">
        <is>
          <t>Still present — reset OTP still logged to console (forget-password-api/store); corrects earlier 'fixed'</t>
        </is>
      </c>
      <c r="W43" s="7" t="inlineStr"/>
    </row>
    <row r="44">
      <c r="A44" s="6" t="inlineStr">
        <is>
          <t>WC-133</t>
        </is>
      </c>
      <c r="B44" s="7" t="inlineStr">
        <is>
          <t>Six of the seven frontend applications have no React error boundary, so any component crash blanks the whole screen</t>
        </is>
      </c>
      <c r="C44" s="10" t="inlineStr">
        <is>
          <t>S2 Critical</t>
        </is>
      </c>
      <c r="D44" s="7" t="inlineStr">
        <is>
          <t>P2</t>
        </is>
      </c>
      <c r="E44" s="7" t="inlineStr">
        <is>
          <t>all personas (affects every app except SP)</t>
        </is>
      </c>
      <c r="F44" s="7" t="inlineStr">
        <is>
          <t>all routes</t>
        </is>
      </c>
      <c r="G44" s="7" t="inlineStr">
        <is>
          <t>Frontend</t>
        </is>
      </c>
      <c r="H44" s="7" t="inlineStr">
        <is>
          <t>Phase 2 (security)</t>
        </is>
      </c>
      <c r="I44" s="7" t="inlineStr">
        <is>
          <t>Source review</t>
        </is>
      </c>
      <c r="J44" s="7" t="inlineStr">
        <is>
          <t>1. Open weconnect-frontend-sp/src/components/layout/error-boundary.jsx — this is the working pattern.
2. Open the other six apps (OC, auth, ch, fc, sm, syc) and confirm no equivalent exists: grep for ErrorBoundary / componentDidCatch / errorElement returns nothing.
3. Confirm the effect by loading any crashing route (see WC-016): the whole screen blanks rather than showing a contained error.</t>
        </is>
      </c>
      <c r="K44" s="7" t="inlineStr">
        <is>
          <t>A component fault is contained by an error boundary and shows a fallback, not a blank page.</t>
        </is>
      </c>
      <c r="L44" s="7" t="inlineStr">
        <is>
          <t>With no error boundary, one failing component unmounts the whole page to blank — the mechanism behind the blank-route defects WC-016 and WC-043. The fix pattern already exists in weconnect-frontend-sp.</t>
        </is>
      </c>
      <c r="M44" s="7" t="inlineStr">
        <is>
          <t>No ErrorBoundary/componentDidCatch/errorElement in OC, auth, ch, fc, sm, syc. Only weconnect-frontend-sp has a real error-boundary.jsx wired into its layout.</t>
        </is>
      </c>
      <c r="N44" s="7" t="inlineStr">
        <is>
          <t>source: all eight frontend repos · findings/findings-log.md -&gt; WC-133</t>
        </is>
      </c>
      <c r="O44" s="7" t="inlineStr">
        <is>
          <t>Copy weconnect-frontend-sp's error-boundary.jsx into the other six apps and wrap each router/layout in it. This contains future crashes; it does not replace the null-guard fix at WC-043.</t>
        </is>
      </c>
      <c r="P44" s="7" t="inlineStr">
        <is>
          <t>Verified — source, all eight repos</t>
        </is>
      </c>
      <c r="Q44" s="7" t="inlineStr">
        <is>
          <t>2026-10-06</t>
        </is>
      </c>
      <c r="R44" s="9" t="inlineStr">
        <is>
          <t>Open</t>
        </is>
      </c>
      <c r="S44" s="9" t="inlineStr"/>
      <c r="T44" s="9" t="inlineStr"/>
      <c r="U44" s="9" t="inlineStr">
        <is>
          <t>Open</t>
        </is>
      </c>
      <c r="V44" s="9" t="inlineStr">
        <is>
          <t>Partially fixed — error boundary now in 2 of 9 apps; 7 still lack one</t>
        </is>
      </c>
      <c r="W44" s="7" t="inlineStr"/>
    </row>
    <row r="45">
      <c r="A45" s="6" t="inlineStr">
        <is>
          <t>WC-004</t>
        </is>
      </c>
      <c r="B45" s="7" t="inlineStr">
        <is>
          <t>Committed env files in frontend repos</t>
        </is>
      </c>
      <c r="C45" s="11" t="inlineStr">
        <is>
          <t>S3 Major</t>
        </is>
      </c>
      <c r="D45" s="7" t="inlineStr">
        <is>
          <t>P2</t>
        </is>
      </c>
      <c r="E45" s="7" t="inlineStr">
        <is>
          <t>Facilitator and Counsellor</t>
        </is>
      </c>
      <c r="F45" s="7" t="inlineStr">
        <is>
          <t>no screen reaches this; see Steps</t>
        </is>
      </c>
      <c r="G45" s="7" t="inlineStr">
        <is>
          <t>Handover / configuration</t>
        </is>
      </c>
      <c r="H45" s="7" t="inlineStr">
        <is>
          <t>Phase 1</t>
        </is>
      </c>
      <c r="I45" s="7" t="inlineStr">
        <is>
          <t>UAT / dev (read-only)</t>
        </is>
      </c>
      <c r="J45" s="7" t="inlineStr">
        <is>
          <t>Inspection, not a runtime reproduction.
1. Open weconnect-frontend-fc repo, dev branch: .env, .env.uat, .env.prod tracked.
2. Confirm what the Actual Result column describes is present (or absent).
3. Full reasoning is in findings/findings-log.md under WC-004.</t>
        </is>
      </c>
      <c r="K45" s="7" t="inlineStr">
        <is>
          <t>Everything needed to build and run the platform is present in the repositories the foundation owns.</t>
        </is>
      </c>
      <c r="L45" s="7" t="inlineStr">
        <is>
          <t>hygiene; .env.prod should not be committed. (Contents not inspected.)</t>
        </is>
      </c>
      <c r="M45" s="7" t="inlineStr">
        <is>
          <t>hygiene; .env.prod should not be committed. (Contents not inspected.)</t>
        </is>
      </c>
      <c r="N45" s="7" t="inlineStr">
        <is>
          <t>evidence/doctype-schemas.json · suite/probes/compare-environments.mjs · findings/findings-log.md -&gt; WC-004</t>
        </is>
      </c>
      <c r="O45" s="7" t="inlineStr">
        <is>
          <t>supply environment configuration at build time (CI variables or an untracked .env.local), keep only a committed .env.example, and add .env* to .gitignore with the example excepted. This also removes the possibility of a credential being added to one of these files later and inherited by every fork and clone.</t>
        </is>
      </c>
      <c r="P45" s="7" t="inlineStr">
        <is>
          <t>Not recorded</t>
        </is>
      </c>
      <c r="Q45" s="7" t="inlineStr">
        <is>
          <t>2026-09-20</t>
        </is>
      </c>
      <c r="R45" s="9" t="inlineStr">
        <is>
          <t>Open</t>
        </is>
      </c>
      <c r="S45" s="9" t="inlineStr"/>
      <c r="T45" s="9" t="inlineStr"/>
      <c r="U45" s="9" t="inlineStr">
        <is>
          <t>Open</t>
        </is>
      </c>
      <c r="V45" s="9" t="inlineStr">
        <is>
          <t>Still present — 19 committed .env files</t>
        </is>
      </c>
      <c r="W45" s="7" t="inlineStr"/>
    </row>
    <row r="46">
      <c r="A46" s="6" t="inlineStr">
        <is>
          <t>WC-065</t>
        </is>
      </c>
      <c r="B46" s="7" t="inlineStr">
        <is>
          <t>A selector endpoint returns the entire youth population, unpaginated</t>
        </is>
      </c>
      <c r="C46" s="11" t="inlineStr">
        <is>
          <t>S3 Major</t>
        </is>
      </c>
      <c r="D46" s="7" t="inlineStr">
        <is>
          <t>P2</t>
        </is>
      </c>
      <c r="E46" s="7" t="inlineStr">
        <is>
          <t>Outreach Coordinator, Facilitator and Counsellor, Skilling Youth Coordinator, Placement Ma</t>
        </is>
      </c>
      <c r="F46" s="7" t="inlineStr">
        <is>
          <t>/oc/batch-management, /oc/batch-management/mark-attendance, /oc/enrollment/registration/registration-form</t>
        </is>
      </c>
      <c r="G46" s="7" t="inlineStr">
        <is>
          <t>Performance</t>
        </is>
      </c>
      <c r="H46" s="7" t="inlineStr">
        <is>
          <t>Phase 2</t>
        </is>
      </c>
      <c r="I46" s="7" t="inlineStr">
        <is>
          <t>UAT / dev (read-only)</t>
        </is>
      </c>
      <c r="J46" s="7" t="inlineStr">
        <is>
          <t>1. Drive facilitator_and_counsellor.api.counselling.helper.get_youth_list with several sessions at once, increasing concurrency step by step.
2. Record the HTTP status and response time at each level.
3. Note the point at which results stop being consistent.</t>
        </is>
      </c>
      <c r="K46" s="7" t="inlineStr">
        <is>
          <t>The endpoint responds within the expected load without degrading, and large result sets are paginated.</t>
        </is>
      </c>
      <c r="L46" s="7" t="inlineStr">
        <is>
          <t>See the register entry for impact.</t>
        </is>
      </c>
      <c r="M46" s="7" t="inlineStr">
        <is>
          <t>3,825 records in a single response — 204 KB, 1.82 s. The response carries a count field but no total_pages or total_data_count, and accepts no page parameter.</t>
        </is>
      </c>
      <c r="N46" s="7" t="inlineStr">
        <is>
          <t>evidence/gate-probe-results.json · findings/findings-log.md -&gt; WC-065</t>
        </is>
      </c>
      <c r="O46" s="7" t="inlineStr">
        <is>
          <t>paginate it as the sibling endpoints already do, or make it a server-side search that returns matches for a typed prefix rather than the full population.</t>
        </is>
      </c>
      <c r="P46" s="7" t="inlineStr">
        <is>
          <t>Verified</t>
        </is>
      </c>
      <c r="Q46" s="7" t="inlineStr"/>
      <c r="R46" s="9" t="inlineStr">
        <is>
          <t>Open</t>
        </is>
      </c>
      <c r="S46" s="9" t="inlineStr"/>
      <c r="T46" s="9" t="inlineStr"/>
      <c r="U46" s="9" t="inlineStr">
        <is>
          <t>Open</t>
        </is>
      </c>
      <c r="V46" s="9" t="inlineStr">
        <is>
          <t>Open — awaiting fix</t>
        </is>
      </c>
      <c r="W46" s="7" t="inlineStr"/>
    </row>
    <row r="47">
      <c r="A47" s="6" t="inlineStr">
        <is>
          <t>WC-080</t>
        </is>
      </c>
      <c r="B47" s="7" t="inlineStr">
        <is>
          <t>move_youth creates a batch-transfer approval for any youth with no caller check</t>
        </is>
      </c>
      <c r="C47" s="11" t="inlineStr">
        <is>
          <t>S3 Major</t>
        </is>
      </c>
      <c r="D47" s="7" t="inlineStr">
        <is>
          <t>P2</t>
        </is>
      </c>
      <c r="E47" s="7" t="inlineStr">
        <is>
          <t>All personas / not role-specific</t>
        </is>
      </c>
      <c r="F47" s="7" t="inlineStr">
        <is>
          <t>no screen reaches this; see Steps</t>
        </is>
      </c>
      <c r="G47" s="7" t="inlineStr">
        <is>
          <t>Authorisation</t>
        </is>
      </c>
      <c r="H47" s="7" t="inlineStr">
        <is>
          <t>Phase 2</t>
        </is>
      </c>
      <c r="I47" s="7" t="inlineStr">
        <is>
          <t>Source review</t>
        </is>
      </c>
      <c r="J47" s="7" t="inlineStr">
        <is>
          <t>1. Sign in as an authenticated staff account — any authenticated account is enough.
2. Call frappe.session.user with no special privileges.
3. Observe that the call is accepted rather than refused, and check whether anything changed.</t>
        </is>
      </c>
      <c r="K47" s="7" t="inlineStr">
        <is>
          <t>The endpoint checks the caller's authorisation before acting, and refuses the call when the caller is not permitted.</t>
        </is>
      </c>
      <c r="L47" s="7" t="inlineStr">
        <is>
          <t>See the register entry for impact.</t>
        </is>
      </c>
      <c r="M47" s="7" t="inlineStr">
        <is>
          <t>move_youth creates a batch-transfer approval for any youth with no caller check.</t>
        </is>
      </c>
      <c r="N47" s="7" t="inlineStr">
        <is>
          <t>evidence/gate-probe-results.json · evidence/bypass-endpoints.json · suite/probes/gate-probe.mjs · findings/findings-log.md -&gt; WC-080</t>
        </is>
      </c>
      <c r="O47" s="7" t="inlineStr">
        <is>
          <t>check the caller's permitted_centres against the youth's centre before creating the approval.</t>
        </is>
      </c>
      <c r="P47" s="7" t="inlineStr">
        <is>
          <t>Verified — source</t>
        </is>
      </c>
      <c r="Q47" s="7" t="inlineStr"/>
      <c r="R47" s="9" t="inlineStr">
        <is>
          <t>Open</t>
        </is>
      </c>
      <c r="S47" s="9" t="inlineStr"/>
      <c r="T47" s="9" t="inlineStr"/>
      <c r="U47" s="9" t="inlineStr">
        <is>
          <t>Open</t>
        </is>
      </c>
      <c r="V47" s="9" t="inlineStr">
        <is>
          <t>Open — awaiting fix</t>
        </is>
      </c>
      <c r="W47" s="7" t="inlineStr"/>
    </row>
    <row r="48">
      <c r="A48" s="6" t="inlineStr">
        <is>
          <t>WC-097</t>
        </is>
      </c>
      <c r="B48" s="7" t="inlineStr">
        <is>
          <t>Batch deletion performs no dependent-record check</t>
        </is>
      </c>
      <c r="C48" s="11" t="inlineStr">
        <is>
          <t>S3 Major</t>
        </is>
      </c>
      <c r="D48" s="7" t="inlineStr">
        <is>
          <t>P2</t>
        </is>
      </c>
      <c r="E48" s="7" t="inlineStr">
        <is>
          <t>All personas / not role-specific</t>
        </is>
      </c>
      <c r="F48" s="7" t="inlineStr">
        <is>
          <t>no screen reaches this; see Steps</t>
        </is>
      </c>
      <c r="G48" s="7" t="inlineStr">
        <is>
          <t>Transactional integrity</t>
        </is>
      </c>
      <c r="H48" s="7" t="inlineStr">
        <is>
          <t>Phase 2</t>
        </is>
      </c>
      <c r="I48" s="7" t="inlineStr">
        <is>
          <t>Source review</t>
        </is>
      </c>
      <c r="J48" s="7" t="inlineStr">
        <is>
          <t>1. Create a parent record with at least one dependent record attached.
2. Call batch_management/api/pathway_batch/form.py, mark_as_deleted(ids, remarks) to remove the parent.
3. Check what happened to the dependents.</t>
        </is>
      </c>
      <c r="K48" s="7" t="inlineStr">
        <is>
          <t>A record with dependents cannot be removed without an explicit, acknowledged cascade.</t>
        </is>
      </c>
      <c r="L48" s="7" t="inlineStr">
        <is>
          <t>A batch that youth are actively enrolled in can be marked deleted; their links to it become references to a hidden record. Because it is a soft delete the data is not destroyed, which caps the severity — but the operation offers no guard against removing a batch that is in use, and any list that filters on is_deleted will silently drop those youths' batch context.</t>
        </is>
      </c>
      <c r="M48" s="7" t="inlineStr">
        <is>
          <t>A batch that youth are actively enrolled in can be marked deleted; their links to it become references to a hidden record. Because it is a soft delete the data is not destroyed, which caps the severity — but the operation offers no guard against removing a batch that is in use, and any list that filters on is_deleted will silently drop those youths' batch context.</t>
        </is>
      </c>
      <c r="N48" s="7" t="inlineStr">
        <is>
          <t>evidence/lifecycle-coverage.json · suite/probes/lifecycle-probe.mjs · findings/findings-log.md -&gt; WC-097</t>
        </is>
      </c>
      <c r="O48" s="7" t="inlineStr">
        <is>
          <t>refuse deletion (or require explicit confirmation) when dependent records exist, and check the caller's centre scope as with the other write endpoints.</t>
        </is>
      </c>
      <c r="P48" s="7" t="inlineStr">
        <is>
          <t>Verified — source</t>
        </is>
      </c>
      <c r="Q48" s="7" t="inlineStr"/>
      <c r="R48" s="9" t="inlineStr">
        <is>
          <t>Open</t>
        </is>
      </c>
      <c r="S48" s="9" t="inlineStr"/>
      <c r="T48" s="9" t="inlineStr"/>
      <c r="U48" s="9" t="inlineStr">
        <is>
          <t>Open</t>
        </is>
      </c>
      <c r="V48" s="9" t="inlineStr">
        <is>
          <t>Open — awaiting fix</t>
        </is>
      </c>
      <c r="W48" s="7" t="inlineStr"/>
    </row>
    <row r="49">
      <c r="A49" s="6" t="inlineStr">
        <is>
          <t>WC-099</t>
        </is>
      </c>
      <c r="B49" s="7" t="inlineStr">
        <is>
          <t>Financial and state-change endpoints are not idempotent</t>
        </is>
      </c>
      <c r="C49" s="11" t="inlineStr">
        <is>
          <t>S3 Major</t>
        </is>
      </c>
      <c r="D49" s="7" t="inlineStr">
        <is>
          <t>P2</t>
        </is>
      </c>
      <c r="E49" s="7" t="inlineStr">
        <is>
          <t>All personas / not role-specific</t>
        </is>
      </c>
      <c r="F49" s="7" t="inlineStr">
        <is>
          <t>no screen reaches this; see Steps</t>
        </is>
      </c>
      <c r="G49" s="7" t="inlineStr">
        <is>
          <t>API contract</t>
        </is>
      </c>
      <c r="H49" s="7" t="inlineStr">
        <is>
          <t>Phase 2</t>
        </is>
      </c>
      <c r="I49" s="7" t="inlineStr">
        <is>
          <t>UAT / dev (read-only)</t>
        </is>
      </c>
      <c r="J49" s="7" t="inlineStr">
        <is>
          <t>1. Sign in as an authenticated staff account.
2. Call youth_skilling.api.invoice.raise_invoice and youth_skilling.api.batch_management.close_batch in a way that must fail (an invalid identifier, a missing field).
3. Compare the HTTP status against the body's own success flag.</t>
        </is>
      </c>
      <c r="K49" s="7" t="inlineStr">
        <is>
          <t>The HTTP status matches the outcome: a failure returns 4xx/5xx, never 200, and the response shape is consistent.</t>
        </is>
      </c>
      <c r="L49" s="7" t="inlineStr">
        <is>
          <t>The double-raise did not create duplicate Sales Invoice or Journal Entry records. The platform does not double-process money in this flow, which caps the severity. But raise_invoice and close_batch should be no-ops or explicit refusals when the target is already in the destination state, and they are not; create_task has no idempotency key, so a retried creation silently duplicates.</t>
        </is>
      </c>
      <c r="M49" s="7" t="inlineStr">
        <is>
          <t>Tested by calling each endpoint twice with an identical payload: - What this means. None of these endpoints guards against a repeat. A network retry, a double-click, or a client that re-sends after a timeout will re-run the operation and get a success response each time. The API returns HTTP 200 on the second call, so the caller cannot distinguish a retry from a fresh action.</t>
        </is>
      </c>
      <c r="N49" s="7" t="inlineStr">
        <is>
          <t>evidence/validation-probe-results.json · evidence/write-surface-classified.json · findings/findings-log.md -&gt; WC-099</t>
        </is>
      </c>
      <c r="O49" s="7" t="inlineStr">
        <is>
          <t>guard state transitions on the current state (refuse to raise an already-raised invoice), and accept an idempotency key on creates so a retried request returns the original record rather than a duplicate.</t>
        </is>
      </c>
      <c r="P49" s="7" t="inlineStr">
        <is>
          <t>Verified — runtime</t>
        </is>
      </c>
      <c r="Q49" s="7" t="inlineStr"/>
      <c r="R49" s="9" t="inlineStr">
        <is>
          <t>Open</t>
        </is>
      </c>
      <c r="S49" s="9" t="inlineStr"/>
      <c r="T49" s="9" t="inlineStr"/>
      <c r="U49" s="9" t="inlineStr">
        <is>
          <t>Open</t>
        </is>
      </c>
      <c r="V49" s="9" t="inlineStr">
        <is>
          <t>Open — awaiting fix</t>
        </is>
      </c>
      <c r="W49" s="7" t="inlineStr"/>
    </row>
    <row r="50">
      <c r="A50" s="6" t="inlineStr">
        <is>
          <t>WC-109</t>
        </is>
      </c>
      <c r="B50" s="7" t="inlineStr">
        <is>
          <t>dashboard.get_invoice_count applies no scoping at all and returns a global financial aggregate</t>
        </is>
      </c>
      <c r="C50" s="11" t="inlineStr">
        <is>
          <t>S3 Major</t>
        </is>
      </c>
      <c r="D50" s="7" t="inlineStr">
        <is>
          <t>P2</t>
        </is>
      </c>
      <c r="E50" s="7" t="inlineStr">
        <is>
          <t>Skilling Partner</t>
        </is>
      </c>
      <c r="F50" s="7" t="inlineStr">
        <is>
          <t>no screen reaches this; see Steps</t>
        </is>
      </c>
      <c r="G50" s="7" t="inlineStr">
        <is>
          <t>Data protection</t>
        </is>
      </c>
      <c r="H50" s="7" t="inlineStr">
        <is>
          <t>Phase 2</t>
        </is>
      </c>
      <c r="I50" s="7" t="inlineStr">
        <is>
          <t>Isolated stack (synthetic data)</t>
        </is>
      </c>
      <c r="J50" s="7" t="inlineStr">
        <is>
          <t>1. Sign in as Outreach Coordinator and note the permitted_centres in the login response.
2. Call youth_skilling.api.dashboard.get_invoice_count.
3. Compare the centre on every returned record against that permitted list.</t>
        </is>
      </c>
      <c r="K50" s="7" t="inlineStr">
        <is>
          <t>Only data the account is permitted to see is returned, and lower environments hold no real programme data.</t>
        </is>
      </c>
      <c r="L50" s="7" t="inlineStr">
        <is>
          <t>every account learns the number of unraised invoices across the whole programme, including centres it has no permission for. Financial volume, not financial records — hence S3 rather than S2 — but it is a scope violation the sibling endpoints on the same dashboard do not have.</t>
        </is>
      </c>
      <c r="M50" s="7" t="inlineStr">
        <is>
          <t>the handler calls frappe.db.count("Skilling Invoice", {"current_status": ...}) with no centre predicate. frappe.db.count does not apply permissions, so no scoping occurs by any route. This one genuinely has no filter, unlike its siblings on the same dashboard.</t>
        </is>
      </c>
      <c r="N50" s="7" t="inlineStr">
        <is>
          <t>evidence/data-shape.json · evidence/gate-probe-results.json · findings/findings-log.md -&gt; WC-109</t>
        </is>
      </c>
      <c r="O50" s="7" t="inlineStr">
        <is>
          <t>filter by the caller's permitted centres, as the sibling cards attempt to, and prefer frappe.get_list/get_all with an explicit centre predicate over frappe.db.count.</t>
        </is>
      </c>
      <c r="P50" s="7" t="inlineStr">
        <is>
          <t>Verified — runtime, three disjoint personas</t>
        </is>
      </c>
      <c r="Q50" s="7" t="inlineStr"/>
      <c r="R50" s="9" t="inlineStr">
        <is>
          <t>Open</t>
        </is>
      </c>
      <c r="S50" s="9" t="inlineStr"/>
      <c r="T50" s="9" t="inlineStr"/>
      <c r="U50" s="9" t="inlineStr">
        <is>
          <t>Open</t>
        </is>
      </c>
      <c r="V50" s="9" t="inlineStr">
        <is>
          <t>Open — awaiting fix</t>
        </is>
      </c>
      <c r="W50" s="7" t="inlineStr"/>
    </row>
    <row r="51">
      <c r="A51" s="6" t="inlineStr">
        <is>
          <t>WC-116</t>
        </is>
      </c>
      <c r="B51" s="7" t="inlineStr">
        <is>
          <t>Session lifetime is seven days, which compounds the token-storage exposure</t>
        </is>
      </c>
      <c r="C51" s="11" t="inlineStr">
        <is>
          <t>S3 Major</t>
        </is>
      </c>
      <c r="D51" s="7" t="inlineStr">
        <is>
          <t>P2</t>
        </is>
      </c>
      <c r="E51" s="7" t="inlineStr">
        <is>
          <t>All personas / not role-specific</t>
        </is>
      </c>
      <c r="F51" s="7" t="inlineStr">
        <is>
          <t>no screen reaches this; see Steps</t>
        </is>
      </c>
      <c r="G51" s="7" t="inlineStr">
        <is>
          <t>Security configuration</t>
        </is>
      </c>
      <c r="H51" s="7" t="inlineStr">
        <is>
          <t>Phase 2 (security)</t>
        </is>
      </c>
      <c r="I51" s="7" t="inlineStr">
        <is>
          <t>Isolated stack (synthetic data)</t>
        </is>
      </c>
      <c r="J51" s="7" t="inlineStr">
        <is>
          <t>1. No sign-in needed for the header checks.
2. Issue the request described in the Actual Result column against the deployed host.
3. Inspect the response headers (or the cookie attributes) rather than the body.
4. Fastest route: node verify/run.mjs --only WC-116</t>
        </is>
      </c>
      <c r="K51" s="7" t="inlineStr">
        <is>
          <t>The protective setting is in place and the unsafe request is refused.</t>
        </is>
      </c>
      <c r="L51" s="7" t="inlineStr">
        <is>
          <t>Three facts already in this register combine with it. The applications store a long-lived API key and secret in localStorage; all of them share one browser origin; and the frontend is served with no Content-Security-Policy. A credential taken from browser storage is therefore valid for roughly a week, across every persona application, with no header-level control limiting where injected script could send it. Each of those findings is moderate alone. Together they describe a single, durable exposure.</t>
        </is>
      </c>
      <c r="M51" s="7" t="inlineStr">
        <is>
          <t>System Settings reports session_expiry = 170:00, which is 170 hours, a little over seven days. force_user_to_reset_password = 0 and minimum_password_score = 2 on Frappe's 0–4 scale, which zxcvbn describes as "somewhat guessable".</t>
        </is>
      </c>
      <c r="N51" s="7" t="inlineStr">
        <is>
          <t>verify/run.mjs · re-check: node verify/run.mjs --only WC-116 · findings/findings-log.md -&gt; WC-116</t>
        </is>
      </c>
      <c r="O51" s="7" t="inlineStr">
        <is>
          <t>shorten the session lifetime to something proportionate to a working day, move the credential to the httpOnly cookie the API already issues, and raise the minimum password score. None of these requires application changes; they are settings.</t>
        </is>
      </c>
      <c r="P51" s="7" t="inlineStr">
        <is>
          <t>Verified — System Settings, isolated instance built from the client's own configuration path</t>
        </is>
      </c>
      <c r="Q51" s="7" t="inlineStr"/>
      <c r="R51" s="9" t="inlineStr">
        <is>
          <t>Open</t>
        </is>
      </c>
      <c r="S51" s="9" t="inlineStr"/>
      <c r="T51" s="9" t="inlineStr"/>
      <c r="U51" s="9" t="inlineStr">
        <is>
          <t>Open — re-checked 2026-09-25, still present</t>
        </is>
      </c>
      <c r="V51" s="9" t="inlineStr">
        <is>
          <t>Still present on api-dev — session Max-Age 7.1 days</t>
        </is>
      </c>
      <c r="W51" s="7" t="inlineStr">
        <is>
          <t>node verify/run.mjs --only WC-116</t>
        </is>
      </c>
    </row>
    <row r="52">
      <c r="A52" s="6" t="inlineStr">
        <is>
          <t>WC-121</t>
        </is>
      </c>
      <c r="B52" s="7" t="inlineStr">
        <is>
          <t>CORS is configured to reflect any origin with credentials allowed</t>
        </is>
      </c>
      <c r="C52" s="11" t="inlineStr">
        <is>
          <t>S3 Major</t>
        </is>
      </c>
      <c r="D52" s="7" t="inlineStr">
        <is>
          <t>P2</t>
        </is>
      </c>
      <c r="E52" s="7" t="inlineStr">
        <is>
          <t>no account required (unauthenticated)</t>
        </is>
      </c>
      <c r="F52" s="7" t="inlineStr">
        <is>
          <t>no screen reaches this; see Steps</t>
        </is>
      </c>
      <c r="G52" s="7" t="inlineStr">
        <is>
          <t>Security configuration</t>
        </is>
      </c>
      <c r="H52" s="7" t="inlineStr">
        <is>
          <t>Phase 2 (security)</t>
        </is>
      </c>
      <c r="I52" s="7" t="inlineStr">
        <is>
          <t>UAT / dev (read-only)</t>
        </is>
      </c>
      <c r="J52" s="7" t="inlineStr">
        <is>
          <t>1. No sign-in needed for the header checks.
2. Issue the request described in the Actual Result column against the deployed host.
3. Inspect the response headers (or the cookie attributes) rather than the body.
4. Fastest route: node verify/run.mjs --only WC-121</t>
        </is>
      </c>
      <c r="K52" s="7" t="inlineStr">
        <is>
          <t>The protective setting is in place and the unsafe request is refused.</t>
        </is>
      </c>
      <c r="L52" s="7" t="inlineStr">
        <is>
          <t>See the register entry for impact.</t>
        </is>
      </c>
      <c r="M52" s="7" t="inlineStr">
        <is>
          <t>A preflight to api-dev.lighthouseconnect.org carrying Origin: https://evil.example.com — a domain with no relationship to the foundation — came back HTTP/2 200 with access-control-allow-origin: https://evil.example.com and access-control-allow-credentials: true. An unrelated origin is echoed back verbatim and told that credentialed requests are acceptable. This is the signature of allow_cors being set to "*": Frappe does not emit a literal *, it reflects whatever origin asked.</t>
        </is>
      </c>
      <c r="N52" s="7" t="inlineStr">
        <is>
          <t>verify/run.mjs · re-check: node verify/run.mjs --only WC-121 · findings/findings-log.md -&gt; WC-121</t>
        </is>
      </c>
      <c r="O52" s="7" t="inlineStr">
        <is>
          <t>Replace "*" with the explicit list of frontend origins that need access. allow_cors accepts a list, and set_cors_headers already compares the incoming origin against it, so this is a configuration edit with no code change: set it to the UAT and production frontend origins and nothing else. Re-run the probe above afterwards and confirm an unrelated origin gets no access-control-allow-origin header back.</t>
        </is>
      </c>
      <c r="P52" s="7" t="inlineStr">
        <is>
          <t>Verified — observed against the live backend</t>
        </is>
      </c>
      <c r="Q52" s="7" t="inlineStr"/>
      <c r="R52" s="9" t="inlineStr">
        <is>
          <t>Open</t>
        </is>
      </c>
      <c r="S52" s="9" t="inlineStr"/>
      <c r="T52" s="9" t="inlineStr"/>
      <c r="U52" s="9" t="inlineStr">
        <is>
          <t>Open — re-checked 2026-09-25, still present</t>
        </is>
      </c>
      <c r="V52" s="9" t="inlineStr">
        <is>
          <t>Still present on api-dev — CORS reflects any origin with credentials</t>
        </is>
      </c>
      <c r="W52" s="7" t="inlineStr">
        <is>
          <t>node verify/run.mjs --only WC-121</t>
        </is>
      </c>
    </row>
    <row r="53">
      <c r="A53" s="6" t="inlineStr">
        <is>
          <t>WC-123</t>
        </is>
      </c>
      <c r="B53" s="7" t="inlineStr">
        <is>
          <t>update_profile applies caller data to a User record, and its permission check is dead code</t>
        </is>
      </c>
      <c r="C53" s="11" t="inlineStr">
        <is>
          <t>S3 Major</t>
        </is>
      </c>
      <c r="D53" s="7" t="inlineStr">
        <is>
          <t>P2</t>
        </is>
      </c>
      <c r="E53" s="7" t="inlineStr">
        <is>
          <t>any authenticated account</t>
        </is>
      </c>
      <c r="F53" s="7" t="inlineStr">
        <is>
          <t>no screen reaches this; see Steps</t>
        </is>
      </c>
      <c r="G53" s="7" t="inlineStr">
        <is>
          <t>Authorisation</t>
        </is>
      </c>
      <c r="H53" s="7" t="inlineStr">
        <is>
          <t>Phase 2 (security)</t>
        </is>
      </c>
      <c r="I53" s="7" t="inlineStr">
        <is>
          <t>Isolated stack (synthetic data)</t>
        </is>
      </c>
      <c r="J53" s="7" t="inlineStr">
        <is>
          <t>1. Sign in as an authenticated staff account.
2. Call outreach/outreach/apis/profile/form.py:74 update_profile with the fields it documents PLUS one it never mentions.
3. Read the record back from the database and check whether the undeclared field was written.</t>
        </is>
      </c>
      <c r="K53" s="7" t="inlineStr">
        <is>
          <t>Only the fields the endpoint declares are written. Any other field in the payload is rejected.</t>
        </is>
      </c>
      <c r="L53" s="7" t="inlineStr">
        <is>
          <t>See the register entry for impact.</t>
        </is>
      </c>
      <c r="M53" s="7" t="inlineStr">
        <is>
          <t>update_profile applies caller data to a User record, and its permission check is dead code.</t>
        </is>
      </c>
      <c r="N53" s="7" t="inlineStr">
        <is>
          <t>suite/probes/mass-assignment-probe.mjs · suite/probes/mass_assignment_scan.py · findings/findings-log.md -&gt; WC-123</t>
        </is>
      </c>
      <c r="O53" s="7" t="inlineStr">
        <is>
          <t>Add return after the 403. Restrict data to the profile fields this screen is meant to edit. Check the permission before applying the data rather than after.</t>
        </is>
      </c>
      <c r="P53" s="7" t="inlineStr">
        <is>
          <t>Verified — reproduced against the isolated stack</t>
        </is>
      </c>
      <c r="Q53" s="7" t="inlineStr"/>
      <c r="R53" s="9" t="inlineStr">
        <is>
          <t>Open</t>
        </is>
      </c>
      <c r="S53" s="9" t="inlineStr"/>
      <c r="T53" s="9" t="inlineStr"/>
      <c r="U53" s="9" t="inlineStr">
        <is>
          <t>Open</t>
        </is>
      </c>
      <c r="V53" s="9" t="inlineStr">
        <is>
          <t>Still present — RUNTIME 2026-10-20: wrote a field on another user's record (update_profile, one of 5 unguarded mass-assignment sites)</t>
        </is>
      </c>
      <c r="W53" s="7" t="inlineStr"/>
    </row>
    <row r="54">
      <c r="A54" s="6" t="inlineStr">
        <is>
          <t>WC-005</t>
        </is>
      </c>
      <c r="B54" s="7" t="inlineStr">
        <is>
          <t>Forgot Password link is a dead anchor</t>
        </is>
      </c>
      <c r="C54" s="11" t="inlineStr">
        <is>
          <t>S3 Major</t>
        </is>
      </c>
      <c r="D54" s="7" t="inlineStr">
        <is>
          <t>P3</t>
        </is>
      </c>
      <c r="E54" s="7" t="inlineStr">
        <is>
          <t>shared login application</t>
        </is>
      </c>
      <c r="F54" s="7" t="inlineStr">
        <is>
          <t>/authentication/forget-password</t>
        </is>
      </c>
      <c r="G54" s="7" t="inlineStr">
        <is>
          <t>Frontend</t>
        </is>
      </c>
      <c r="H54" s="7" t="inlineStr">
        <is>
          <t>Phase 1</t>
        </is>
      </c>
      <c r="I54" s="7" t="inlineStr">
        <is>
          <t>UAT / dev (read-only)</t>
        </is>
      </c>
      <c r="J54" s="7" t="inlineStr">
        <is>
          <t>1. Sign in as an authenticated staff account.
2. Paste the Forgot Password anchor on /authentication/login into the address bar and load it directly — do not navigate to it from inside the app.
3. Observe whether the screen renders. Open the browser console and note any exception.</t>
        </is>
      </c>
      <c r="K54" s="7" t="inlineStr">
        <is>
          <t>The screen renders its content when the URL is opened directly, refreshed, or reached from a bookmark.</t>
        </is>
      </c>
      <c r="L54" s="7" t="inlineStr">
        <is>
          <t>no password recovery path from login.</t>
        </is>
      </c>
      <c r="M54" s="7" t="inlineStr">
        <is>
          <t>"Forgot Password?" href="#" — no destination.</t>
        </is>
      </c>
      <c r="N54" s="7" t="inlineStr">
        <is>
          <t>findings/findings-log.md -&gt; WC-005</t>
        </is>
      </c>
      <c r="O54" s="7" t="inlineStr">
        <is>
          <t>point the anchor at the password-reset route, or remove it until that route exists. The backend already exposes authentication.api.password.send_otp / verify_otp / reset_password, so the flow exists server-side and only the entry point is missing. A user who forgets their password currently has no self-service path at all.</t>
        </is>
      </c>
      <c r="P54" s="7" t="inlineStr">
        <is>
          <t>Not recorded</t>
        </is>
      </c>
      <c r="Q54" s="7" t="inlineStr"/>
      <c r="R54" s="9" t="inlineStr">
        <is>
          <t>Open</t>
        </is>
      </c>
      <c r="S54" s="9" t="inlineStr"/>
      <c r="T54" s="9" t="inlineStr"/>
      <c r="U54" s="9" t="inlineStr">
        <is>
          <t>Open</t>
        </is>
      </c>
      <c r="V54" s="9" t="inlineStr">
        <is>
          <t>Open — awaiting fix</t>
        </is>
      </c>
      <c r="W54" s="7" t="inlineStr"/>
    </row>
    <row r="55">
      <c r="A55" s="6" t="inlineStr">
        <is>
          <t>WC-006</t>
        </is>
      </c>
      <c r="B55" s="7" t="inlineStr">
        <is>
          <t>Password field missing autocomplete attribute</t>
        </is>
      </c>
      <c r="C55" s="11" t="inlineStr">
        <is>
          <t>S3 Major</t>
        </is>
      </c>
      <c r="D55" s="7" t="inlineStr">
        <is>
          <t>P3</t>
        </is>
      </c>
      <c r="E55" s="7" t="inlineStr">
        <is>
          <t>All personas / not role-specific</t>
        </is>
      </c>
      <c r="F55" s="7" t="inlineStr">
        <is>
          <t>no screen reaches this; see Steps</t>
        </is>
      </c>
      <c r="G55" s="7" t="inlineStr">
        <is>
          <t>Accessibility</t>
        </is>
      </c>
      <c r="H55" s="7" t="inlineStr">
        <is>
          <t>Phase 1</t>
        </is>
      </c>
      <c r="I55" s="7" t="inlineStr">
        <is>
          <t>UAT / dev (read-only)</t>
        </is>
      </c>
      <c r="J55" s="7" t="inlineStr">
        <is>
          <t>1. Load the password input on /authentication/login as an authenticated staff account.
2. Run axe-core against the page (or any WCAG 2.1 AA checker).
3. Read the violations for the element named in the Actual Result column.</t>
        </is>
      </c>
      <c r="K55" s="7" t="inlineStr">
        <is>
          <t>The element meets WCAG 2.1 AA.</t>
        </is>
      </c>
      <c r="L55" s="7" t="inlineStr">
        <is>
          <t>See the register entry for impact.</t>
        </is>
      </c>
      <c r="M55" s="7" t="inlineStr">
        <is>
          <t>Chrome DOM warning; breaks password managers / a11y.</t>
        </is>
      </c>
      <c r="N55" s="7" t="inlineStr">
        <is>
          <t>the axe-core run across all 235 routes · findings/findings-log.md -&gt; WC-006</t>
        </is>
      </c>
      <c r="O55" s="7" t="inlineStr">
        <is>
          <t>add autocomplete="current-password" to the login password input (and autocomplete="username" to the identifier field). One attribute each; it restores password manager support and clears the browser console warning.</t>
        </is>
      </c>
      <c r="P55" s="7" t="inlineStr">
        <is>
          <t>Not recorded</t>
        </is>
      </c>
      <c r="Q55" s="7" t="inlineStr"/>
      <c r="R55" s="9" t="inlineStr">
        <is>
          <t>Open</t>
        </is>
      </c>
      <c r="S55" s="9" t="inlineStr"/>
      <c r="T55" s="9" t="inlineStr"/>
      <c r="U55" s="9" t="inlineStr">
        <is>
          <t>Open</t>
        </is>
      </c>
      <c r="V55" s="9" t="inlineStr">
        <is>
          <t>Open — awaiting fix</t>
        </is>
      </c>
      <c r="W55" s="7" t="inlineStr"/>
    </row>
    <row r="56">
      <c r="A56" s="6" t="inlineStr">
        <is>
          <t>WC-014</t>
        </is>
      </c>
      <c r="B56" s="7" t="inlineStr">
        <is>
          <t>OC (Outreach Coordinator) account returns empty role_profile</t>
        </is>
      </c>
      <c r="C56" s="11" t="inlineStr">
        <is>
          <t>S3 Major</t>
        </is>
      </c>
      <c r="D56" s="7" t="inlineStr">
        <is>
          <t>P3</t>
        </is>
      </c>
      <c r="E56" s="7" t="inlineStr">
        <is>
          <t>Placement Manager, shared login application</t>
        </is>
      </c>
      <c r="F56" s="7" t="inlineStr">
        <is>
          <t>/pm/waiting-for-mapping, /, /auth/google/callback, /authentication/forget-password</t>
        </is>
      </c>
      <c r="G56" s="7" t="inlineStr">
        <is>
          <t>API contract</t>
        </is>
      </c>
      <c r="H56" s="7" t="inlineStr">
        <is>
          <t>Phase 1</t>
        </is>
      </c>
      <c r="I56" s="7" t="inlineStr">
        <is>
          <t>UAT / dev (read-only)</t>
        </is>
      </c>
      <c r="J56" s="7" t="inlineStr">
        <is>
          <t>1. Sign in as an authenticated staff account.
2. Call authentication.api.auth.login in a way that must fail (an invalid identifier, a missing field).
3. Compare the HTTP status against the body's own success flag.</t>
        </is>
      </c>
      <c r="K56" s="7" t="inlineStr">
        <is>
          <t>The HTTP status matches the outcome: a failure returns 4xx/5xx, never 200, and the response shape is consistent.</t>
        </is>
      </c>
      <c r="L56" s="7" t="inlineStr">
        <is>
          <t>role-dependent UI/permissions may misbehave for OC. App is the unlabeled weconnect-frontend (lcf_project). Confirm intended OC role config with client.</t>
        </is>
      </c>
      <c r="M56" s="7" t="inlineStr">
        <is>
          <t>authentication.api.auth.login returns HTTP 200 but role_profile: "" for the OC account, while all other personas return a populated profile.</t>
        </is>
      </c>
      <c r="N56" s="7" t="inlineStr">
        <is>
          <t>evidence/validation-probe-results.json · evidence/write-surface-classified.json · findings/findings-log.md -&gt; WC-014</t>
        </is>
      </c>
      <c r="O56" s="7" t="inlineStr">
        <is>
          <t>assign the Outreach Coordinator role profile to the account, and make the login endpoint refuse — or at minimum log. An authenticated user with no role profile, rather than returning an empty string that callers must interpret.</t>
        </is>
      </c>
      <c r="P56" s="7" t="inlineStr">
        <is>
          <t>Verified</t>
        </is>
      </c>
      <c r="Q56" s="7" t="inlineStr">
        <is>
          <t>2026-09-20</t>
        </is>
      </c>
      <c r="R56" s="9" t="inlineStr">
        <is>
          <t>Open</t>
        </is>
      </c>
      <c r="S56" s="9" t="inlineStr"/>
      <c r="T56" s="9" t="inlineStr"/>
      <c r="U56" s="9" t="inlineStr">
        <is>
          <t>Open</t>
        </is>
      </c>
      <c r="V56" s="9" t="inlineStr">
        <is>
          <t>Open — awaiting fix</t>
        </is>
      </c>
      <c r="W56" s="7" t="inlineStr"/>
    </row>
    <row r="57">
      <c r="A57" s="6" t="inlineStr">
        <is>
          <t>WC-019</t>
        </is>
      </c>
      <c r="B57" s="7" t="inlineStr">
        <is>
          <t>SP /approvals data API returns 404</t>
        </is>
      </c>
      <c r="C57" s="11" t="inlineStr">
        <is>
          <t>S3 Major</t>
        </is>
      </c>
      <c r="D57" s="7" t="inlineStr">
        <is>
          <t>P3</t>
        </is>
      </c>
      <c r="E57" s="7" t="inlineStr">
        <is>
          <t>Skilling Manager, Skilling Partner, Placement Manager</t>
        </is>
      </c>
      <c r="F57" s="7" t="inlineStr">
        <is>
          <t>/sm/batch-management, /sm/budget, /sm/discontinued-skilling-tables, /sp/approvals, /sp/follow-ups, /sp/screening-schedul</t>
        </is>
      </c>
      <c r="G57" s="7" t="inlineStr">
        <is>
          <t>API contract</t>
        </is>
      </c>
      <c r="H57" s="7" t="inlineStr">
        <is>
          <t>Phase 1</t>
        </is>
      </c>
      <c r="I57" s="7" t="inlineStr">
        <is>
          <t>UAT / dev (read-only)</t>
        </is>
      </c>
      <c r="J57" s="7" t="inlineStr">
        <is>
          <t>1. Sign in as Skilling Partner and open /sp/approvals with the browser network tab open.
2. Find the failing request in the network log.
3. Note its URL and status code.</t>
        </is>
      </c>
      <c r="K57" s="7" t="inlineStr">
        <is>
          <t>The endpoint the screen calls exists on the deployed build and returns its data.</t>
        </is>
      </c>
      <c r="L57" s="7" t="inlineStr">
        <is>
          <t>See the register entry for impact.</t>
        </is>
      </c>
      <c r="M57" s="7" t="inlineStr">
        <is>
          <t>SP /approvals data API returns 404.</t>
        </is>
      </c>
      <c r="N57" s="7" t="inlineStr">
        <is>
          <t>evidence/write-surface-classified.json · findings/findings-log.md -&gt; WC-019</t>
        </is>
      </c>
      <c r="O57" s="7" t="inlineStr">
        <is>
          <t>the Skilling Partner approvals screen calls an endpoint that is absent on the deployed build. Restore it, or repoint the screen at youth_skilling.api.approval.approval_list, which serves the same records and is present. Note that endpoint carries its own defect (its scope resolver returns unrestricted for any System Manager holder), so repointing alone is not sufficient.</t>
        </is>
      </c>
      <c r="P57" s="7" t="inlineStr">
        <is>
          <t>Verified</t>
        </is>
      </c>
      <c r="Q57" s="7" t="inlineStr">
        <is>
          <t>2026-09-18</t>
        </is>
      </c>
      <c r="R57" s="9" t="inlineStr">
        <is>
          <t>Open</t>
        </is>
      </c>
      <c r="S57" s="9" t="inlineStr"/>
      <c r="T57" s="9" t="inlineStr"/>
      <c r="U57" s="9" t="inlineStr">
        <is>
          <t>Open</t>
        </is>
      </c>
      <c r="V57" s="9" t="inlineStr">
        <is>
          <t>Open — awaiting fix</t>
        </is>
      </c>
      <c r="W57" s="7" t="inlineStr"/>
    </row>
    <row r="58">
      <c r="A58" s="6" t="inlineStr">
        <is>
          <t>WC-024</t>
        </is>
      </c>
      <c r="B58" s="7" t="inlineStr">
        <is>
          <t>Endpoint-level role separation is inconsistent; data scoping is the only real control</t>
        </is>
      </c>
      <c r="C58" s="11" t="inlineStr">
        <is>
          <t>S3 Major</t>
        </is>
      </c>
      <c r="D58" s="7" t="inlineStr">
        <is>
          <t>P3</t>
        </is>
      </c>
      <c r="E58" s="7" t="inlineStr">
        <is>
          <t>All personas / not role-specific</t>
        </is>
      </c>
      <c r="F58" s="7" t="inlineStr">
        <is>
          <t>no screen reaches this; see Steps</t>
        </is>
      </c>
      <c r="G58" s="7" t="inlineStr">
        <is>
          <t>Data protection</t>
        </is>
      </c>
      <c r="H58" s="7" t="inlineStr">
        <is>
          <t>Phase 1</t>
        </is>
      </c>
      <c r="I58" s="7" t="inlineStr">
        <is>
          <t>UAT / dev (read-only)</t>
        </is>
      </c>
      <c r="J58" s="7" t="inlineStr">
        <is>
          <t>1. Sign in as an authenticated staff account and note the permitted_centres in the login response.
2. Call the per-persona endpoint set recorded in evidence/authz-audit.json.
3. Compare the centre on every returned record against that permitted list.</t>
        </is>
      </c>
      <c r="K58" s="7" t="inlineStr">
        <is>
          <t>Only data the account is permitted to see is returned, and lower environments hold no real programme data.</t>
        </is>
      </c>
      <c r="L58" s="7" t="inlineStr">
        <is>
          <t>there is no coherent endpoint authorization policy — some endpoints check the caller's role, most do not, and OC is refused nothing at all. No data leaked (see the clean result below), because each endpoint scopes its *data* to the caller's permitted centres. But that makes per-endpoint data scoping the single control standing between roles. One endpoint written without that scoping is immediately reachable by every persona. Combined with the disabled frontend route-guard and the shared-origin credential store, the platform is relying on one layer where it appears to intend three.</t>
        </is>
      </c>
      <c r="M58" s="7" t="inlineStr">
        <is>
          <t>each persona was offered the 67 endpoints exclusive to other personas. Share refused (401/403):; Caller; Read OK; Refused; Refusal rate; OC; 48; 0; 0%; CH; 36; 3; 8%; FC; 45; 7; 13%; SYC; 45; 9; 16%; SM; 33; 11; 24%; SP; 33; 14; 29%.</t>
        </is>
      </c>
      <c r="N58" s="7" t="inlineStr">
        <is>
          <t>evidence/data-shape.json · evidence/gate-probe-results.json · findings/findings-log.md -&gt; WC-024</t>
        </is>
      </c>
      <c r="O58" s="7" t="inlineStr">
        <is>
          <t>See register.</t>
        </is>
      </c>
      <c r="P58" s="7" t="inlineStr">
        <is>
          <t>Verified</t>
        </is>
      </c>
      <c r="Q58" s="7" t="inlineStr"/>
      <c r="R58" s="9" t="inlineStr">
        <is>
          <t>Open</t>
        </is>
      </c>
      <c r="S58" s="9" t="inlineStr"/>
      <c r="T58" s="9" t="inlineStr"/>
      <c r="U58" s="9" t="inlineStr">
        <is>
          <t>Open</t>
        </is>
      </c>
      <c r="V58" s="9" t="inlineStr">
        <is>
          <t>Open — awaiting fix</t>
        </is>
      </c>
      <c r="W58" s="7" t="inlineStr"/>
    </row>
    <row r="59">
      <c r="A59" s="6" t="inlineStr">
        <is>
          <t>WC-028</t>
        </is>
      </c>
      <c r="B59" s="7" t="inlineStr">
        <is>
          <t>Colour contrast below WCAG AA on 13 routes</t>
        </is>
      </c>
      <c r="C59" s="11" t="inlineStr">
        <is>
          <t>S3 Major</t>
        </is>
      </c>
      <c r="D59" s="7" t="inlineStr">
        <is>
          <t>P3</t>
        </is>
      </c>
      <c r="E59" s="7" t="inlineStr">
        <is>
          <t>All personas / not role-specific</t>
        </is>
      </c>
      <c r="F59" s="7" t="inlineStr">
        <is>
          <t>no screen reaches this; see Steps</t>
        </is>
      </c>
      <c r="G59" s="7" t="inlineStr">
        <is>
          <t>Accessibility</t>
        </is>
      </c>
      <c r="H59" s="7" t="inlineStr">
        <is>
          <t>Phase 1</t>
        </is>
      </c>
      <c r="I59" s="7" t="inlineStr">
        <is>
          <t>UAT / dev (read-only)</t>
        </is>
      </c>
      <c r="J59" s="7" t="inlineStr">
        <is>
          <t>1. Load the 13 routes listed in the register entry; the failures sit in shared navigation as an authenticated staff account.
2. Run axe-core against the page (or any WCAG 2.1 AA checker).
3. Read the violations for the element named in the Actual Result column.</t>
        </is>
      </c>
      <c r="K59" s="7" t="inlineStr">
        <is>
          <t>The element meets WCAG 2.1 AA.</t>
        </is>
      </c>
      <c r="L59" s="7" t="inlineStr">
        <is>
          <t>text fails the 4.5:1 AA threshold; affects low-vision users and anyone on a poor screen or in sunlight — relevant for field staff working on phones outdoors.</t>
        </is>
      </c>
      <c r="M59" s="7" t="inlineStr">
        <is>
          <t>color-contrast, serious, 13 routes, 43 elements.</t>
        </is>
      </c>
      <c r="N59" s="7" t="inlineStr">
        <is>
          <t>the axe-core run across all 235 routes · findings/findings-log.md -&gt; WC-028</t>
        </is>
      </c>
      <c r="O59" s="7" t="inlineStr">
        <is>
          <t>the failures are concentrated in shared navigation and shared button styles rather than spread across pages, so correcting the palette tokens in the shared component library (persona-common-components) fixes most instances at once. Target WCAG AA — 4.5:1 for body text, 3:1 for large text and UI boundaries — and add an automated contrast check to CI so regressions are caught at build time.</t>
        </is>
      </c>
      <c r="P59" s="7" t="inlineStr">
        <is>
          <t>Verified</t>
        </is>
      </c>
      <c r="Q59" s="7" t="inlineStr"/>
      <c r="R59" s="9" t="inlineStr">
        <is>
          <t>Open</t>
        </is>
      </c>
      <c r="S59" s="9" t="inlineStr"/>
      <c r="T59" s="9" t="inlineStr"/>
      <c r="U59" s="9" t="inlineStr">
        <is>
          <t>Open</t>
        </is>
      </c>
      <c r="V59" s="9" t="inlineStr">
        <is>
          <t>Open — awaiting fix</t>
        </is>
      </c>
      <c r="W59" s="7" t="inlineStr"/>
    </row>
    <row r="60">
      <c r="A60" s="6" t="inlineStr">
        <is>
          <t>WC-030</t>
        </is>
      </c>
      <c r="B60" s="7" t="inlineStr">
        <is>
          <t>permitted_courses is a string for half the accounts and an array for the other half</t>
        </is>
      </c>
      <c r="C60" s="11" t="inlineStr">
        <is>
          <t>S3 Major</t>
        </is>
      </c>
      <c r="D60" s="7" t="inlineStr">
        <is>
          <t>P3</t>
        </is>
      </c>
      <c r="E60" s="7" t="inlineStr">
        <is>
          <t>Placement Manager, shared login application</t>
        </is>
      </c>
      <c r="F60" s="7" t="inlineStr">
        <is>
          <t>/pm/waiting-for-mapping, /, /auth/google/callback, /authentication/forget-password</t>
        </is>
      </c>
      <c r="G60" s="7" t="inlineStr">
        <is>
          <t>Error handling</t>
        </is>
      </c>
      <c r="H60" s="7" t="inlineStr">
        <is>
          <t>Phase 1</t>
        </is>
      </c>
      <c r="I60" s="7" t="inlineStr">
        <is>
          <t>UAT / dev (read-only)</t>
        </is>
      </c>
      <c r="J60" s="7" t="inlineStr">
        <is>
          <t>1. Sign in as each of the six personas in turn.
2. Read permitted_courses in each login response.
3. Compare the type across accounts: three return an array, three return the string NA.</t>
        </is>
      </c>
      <c r="K60" s="7" t="inlineStr">
        <is>
          <t>A 4xx response with a message the caller can act on. No stack trace and no HTTP 500.</t>
        </is>
      </c>
      <c r="L60" s="7" t="inlineStr">
        <is>
          <t>a client calling .map(), .filter() or .includes() on this field behaves differently depending on who logged in. "NA".length is 2, so a naive count reports two courses where there are none. A wrong answer returned silently is harder to find than a crash, because nothing signals that anything went wrong.</t>
        </is>
      </c>
      <c r="M60" s="7" t="inlineStr">
        <is>
          <t>Account; permitted_courses; FC; array(3); SP; array(2); SM; array(11); CH; "NA" (string); SYC; "NA" (string); OC; "NA" (string)</t>
        </is>
      </c>
      <c r="N60" s="7" t="inlineStr">
        <is>
          <t>evidence/validation-probe-results.json · suite/probes/validation-probe.mjs · findings/findings-log.md -&gt; WC-030</t>
        </is>
      </c>
      <c r="O60" s="7" t="inlineStr">
        <is>
          <t>return [] rather than the sentinel string "NA". A field's type should not depend on its value. permitted_centres is correctly an array for every account and is the reference.</t>
        </is>
      </c>
      <c r="P60" s="7" t="inlineStr">
        <is>
          <t>Verified</t>
        </is>
      </c>
      <c r="Q60" s="7" t="inlineStr"/>
      <c r="R60" s="9" t="inlineStr">
        <is>
          <t>Open</t>
        </is>
      </c>
      <c r="S60" s="9" t="inlineStr"/>
      <c r="T60" s="9" t="inlineStr"/>
      <c r="U60" s="9" t="inlineStr">
        <is>
          <t>Open</t>
        </is>
      </c>
      <c r="V60" s="9" t="inlineStr">
        <is>
          <t>Open — awaiting fix</t>
        </is>
      </c>
      <c r="W60" s="7" t="inlineStr"/>
    </row>
    <row r="61">
      <c r="A61" s="6" t="inlineStr">
        <is>
          <t>WC-031</t>
        </is>
      </c>
      <c r="B61" s="7" t="inlineStr">
        <is>
          <t>Logging in silently terminates the previous session</t>
        </is>
      </c>
      <c r="C61" s="11" t="inlineStr">
        <is>
          <t>S3 Major</t>
        </is>
      </c>
      <c r="D61" s="7" t="inlineStr">
        <is>
          <t>P3</t>
        </is>
      </c>
      <c r="E61" s="7" t="inlineStr">
        <is>
          <t>All personas / not role-specific</t>
        </is>
      </c>
      <c r="F61" s="7" t="inlineStr">
        <is>
          <t>no screen reaches this; see Steps</t>
        </is>
      </c>
      <c r="G61" s="7" t="inlineStr">
        <is>
          <t>Authentication / session</t>
        </is>
      </c>
      <c r="H61" s="7" t="inlineStr">
        <is>
          <t>Phase 1</t>
        </is>
      </c>
      <c r="I61" s="7" t="inlineStr">
        <is>
          <t>UAT / dev (read-only)</t>
        </is>
      </c>
      <c r="J61" s="7" t="inlineStr">
        <is>
          <t>1. Sign in as the same account in one browser.
2. Sign in again as that account in a second browser.
3. Return to the first browser and issue any authenticated request.</t>
        </is>
      </c>
      <c r="K61" s="7" t="inlineStr">
        <is>
          <t>Session behaviour is deliberate and the user is told when a session ends.</t>
        </is>
      </c>
      <c r="L61" s="7" t="inlineStr">
        <is>
          <t>the platform supports one active session per account. A staff member who logs in on a desktop is silently signed out on their phone — and because the interceptor redirects on 401, they are dropped onto the login screen mid-task with no explanation. Field staff moving between devices will hit this routinely.</t>
        </is>
      </c>
      <c r="M61" s="7" t="inlineStr">
        <is>
          <t>two consecutive logins for the same account. api_key is stable; api_secret is regenerated on each login, and the first secret immediately returns 401.</t>
        </is>
      </c>
      <c r="N61" s="7" t="inlineStr">
        <is>
          <t>findings/findings-log.md -&gt; WC-031</t>
        </is>
      </c>
      <c r="O61" s="7" t="inlineStr">
        <is>
          <t>See register.</t>
        </is>
      </c>
      <c r="P61" s="7" t="inlineStr">
        <is>
          <t>Verified</t>
        </is>
      </c>
      <c r="Q61" s="7" t="inlineStr"/>
      <c r="R61" s="9" t="inlineStr">
        <is>
          <t>Open</t>
        </is>
      </c>
      <c r="S61" s="9" t="inlineStr"/>
      <c r="T61" s="9" t="inlineStr"/>
      <c r="U61" s="9" t="inlineStr">
        <is>
          <t>Open</t>
        </is>
      </c>
      <c r="V61" s="9" t="inlineStr">
        <is>
          <t>Open — awaiting fix</t>
        </is>
      </c>
      <c r="W61" s="7" t="inlineStr"/>
    </row>
    <row r="62">
      <c r="A62" s="6" t="inlineStr">
        <is>
          <t>WC-055</t>
        </is>
      </c>
      <c r="B62" s="7" t="inlineStr">
        <is>
          <t>The deployable platform is undocumented and larger than the handover</t>
        </is>
      </c>
      <c r="C62" s="11" t="inlineStr">
        <is>
          <t>S3 Major</t>
        </is>
      </c>
      <c r="D62" s="7" t="inlineStr">
        <is>
          <t>P3</t>
        </is>
      </c>
      <c r="E62" s="7" t="inlineStr">
        <is>
          <t>any persona (login)</t>
        </is>
      </c>
      <c r="F62" s="7" t="inlineStr">
        <is>
          <t>no screen reaches this; see Steps</t>
        </is>
      </c>
      <c r="G62" s="7" t="inlineStr">
        <is>
          <t>Handover / configuration</t>
        </is>
      </c>
      <c r="H62" s="7" t="inlineStr">
        <is>
          <t>Phase 2</t>
        </is>
      </c>
      <c r="I62" s="7" t="inlineStr">
        <is>
          <t>Isolated stack (synthetic data)</t>
        </is>
      </c>
      <c r="J62" s="7" t="inlineStr">
        <is>
          <t>Inspection, not a runtime reproduction.
1. Open frappe.db.get_value("Employee", {"user_id": user}).
2. Confirm what the Actual Result column describes is present (or absent).
3. Full reasoning is in findings/findings-log.md under WC-055.</t>
        </is>
      </c>
      <c r="K62" s="7" t="inlineStr">
        <is>
          <t>Everything needed to build and run the platform is present in the repositories the foundation owns.</t>
        </is>
      </c>
      <c r="L62" s="7" t="inlineStr">
        <is>
          <t>See the register entry for impact.</t>
        </is>
      </c>
      <c r="M62" s="7" t="inlineStr">
        <is>
          <t>weconnect-backend-authentication, authentication/api/auth.py:185: frappe.db.get_value("Employee", {"user_id": user}). No Employee doctype is defined by any of the eight backend applications — 297 definitions under 293 distinct names were enumerated across all of them, and none is Employee. Accounts carry identifiers of the form HR-EMP-00471.</t>
        </is>
      </c>
      <c r="N62" s="7" t="inlineStr">
        <is>
          <t>evidence/doctype-schemas.json · suite/probes/compare-environments.mjs · findings/findings-log.md -&gt; WC-055</t>
        </is>
      </c>
      <c r="O62" s="7" t="inlineStr">
        <is>
          <t>declare required_apps in authentication/hooks.py, and record the deployable set in a README. Both are small; the absence of both is what turns a dependency into a trap.</t>
        </is>
      </c>
      <c r="P62" s="7" t="inlineStr">
        <is>
          <t>Verified</t>
        </is>
      </c>
      <c r="Q62" s="7" t="inlineStr"/>
      <c r="R62" s="9" t="inlineStr">
        <is>
          <t>Open</t>
        </is>
      </c>
      <c r="S62" s="9" t="inlineStr"/>
      <c r="T62" s="9" t="inlineStr"/>
      <c r="U62" s="9" t="inlineStr">
        <is>
          <t>Open</t>
        </is>
      </c>
      <c r="V62" s="9" t="inlineStr">
        <is>
          <t>Open — awaiting fix</t>
        </is>
      </c>
      <c r="W62" s="7" t="inlineStr"/>
    </row>
    <row r="63">
      <c r="A63" s="6" t="inlineStr">
        <is>
          <t>WC-059</t>
        </is>
      </c>
      <c r="B63" s="7" t="inlineStr">
        <is>
          <t>Orphaned module records remain for three uninstalled applications</t>
        </is>
      </c>
      <c r="C63" s="11" t="inlineStr">
        <is>
          <t>S3 Major</t>
        </is>
      </c>
      <c r="D63" s="7" t="inlineStr">
        <is>
          <t>P3</t>
        </is>
      </c>
      <c r="E63" s="7" t="inlineStr">
        <is>
          <t>All personas / not role-specific</t>
        </is>
      </c>
      <c r="F63" s="7" t="inlineStr">
        <is>
          <t>no screen reaches this; see Steps</t>
        </is>
      </c>
      <c r="G63" s="7" t="inlineStr">
        <is>
          <t>Handover / configuration</t>
        </is>
      </c>
      <c r="H63" s="7" t="inlineStr">
        <is>
          <t>Phase 2</t>
        </is>
      </c>
      <c r="I63" s="7" t="inlineStr">
        <is>
          <t>UAT / dev (read-only)</t>
        </is>
      </c>
      <c r="J63" s="7" t="inlineStr">
        <is>
          <t>Inspection, not a runtime reproduction.
1. Open the Module Def records for hrms, mannlowe_support and materialized_view_builder.
2. Confirm what the Actual Result column describes is present (or absent).
3. Full reasoning is in findings/findings-log.md under WC-059.</t>
        </is>
      </c>
      <c r="K63" s="7" t="inlineStr">
        <is>
          <t>Everything needed to build and run the platform is present in the repositories the foundation owns.</t>
        </is>
      </c>
      <c r="L63" s="7" t="inlineStr">
        <is>
          <t>Chiefly diagnostic, and that is the point: anyone inspecting this site to establish what it runs gets a misleading answer — as we did. It can also break tooling that resolves a doctype's owning application through its module, and it is the sort of residue that makes an environment progressively harder to reason about.</t>
        </is>
      </c>
      <c r="M63" s="7" t="inlineStr">
        <is>
          <t>Module Def holds records attributed to three applications that get_versions does not list as installed:; Application; Orphaned modules; hrms; HR, Payroll; mannlowe_support; Mannlowe Support; materialized_view_builder; Materialized View Builder.</t>
        </is>
      </c>
      <c r="N63" s="7" t="inlineStr">
        <is>
          <t>evidence/doctype-schemas.json · suite/probes/compare-environments.mjs · findings/findings-log.md -&gt; WC-059</t>
        </is>
      </c>
      <c r="O63" s="7" t="inlineStr">
        <is>
          <t>remove the orphaned Module Def records, or reinstall-and-uninstall cleanly.</t>
        </is>
      </c>
      <c r="P63" s="7" t="inlineStr">
        <is>
          <t>Verified</t>
        </is>
      </c>
      <c r="Q63" s="7" t="inlineStr"/>
      <c r="R63" s="9" t="inlineStr">
        <is>
          <t>Open</t>
        </is>
      </c>
      <c r="S63" s="9" t="inlineStr"/>
      <c r="T63" s="9" t="inlineStr"/>
      <c r="U63" s="9" t="inlineStr">
        <is>
          <t>Open</t>
        </is>
      </c>
      <c r="V63" s="9" t="inlineStr">
        <is>
          <t>Open — awaiting fix</t>
        </is>
      </c>
      <c r="W63" s="7" t="inlineStr"/>
    </row>
    <row r="64">
      <c r="A64" s="6" t="inlineStr">
        <is>
          <t>WC-062</t>
        </is>
      </c>
      <c r="B64" s="7" t="inlineStr">
        <is>
          <t>Three doctypes are defined twice, by two different applications</t>
        </is>
      </c>
      <c r="C64" s="11" t="inlineStr">
        <is>
          <t>S3 Major</t>
        </is>
      </c>
      <c r="D64" s="7" t="inlineStr">
        <is>
          <t>P3</t>
        </is>
      </c>
      <c r="E64" s="7" t="inlineStr">
        <is>
          <t>All personas / not role-specific</t>
        </is>
      </c>
      <c r="F64" s="7" t="inlineStr">
        <is>
          <t>no screen reaches this; see Steps</t>
        </is>
      </c>
      <c r="G64" s="7" t="inlineStr">
        <is>
          <t>Handover / configuration</t>
        </is>
      </c>
      <c r="H64" s="7" t="inlineStr">
        <is>
          <t>Phase 2</t>
        </is>
      </c>
      <c r="I64" s="7" t="inlineStr">
        <is>
          <t>Isolated stack (synthetic data)</t>
        </is>
      </c>
      <c r="J64" s="7" t="inlineStr">
        <is>
          <t>Inspection, not a runtime reproduction.
1. Open the three doctypes the register names as defined by two applications each.
2. Confirm what the Actual Result column describes is present (or absent).
3. Full reasoning is in findings/findings-log.md under WC-062.</t>
        </is>
      </c>
      <c r="K64" s="7" t="inlineStr">
        <is>
          <t>Everything needed to build and run the platform is present in the repositories the foundation owns.</t>
        </is>
      </c>
      <c r="L64" s="7" t="inlineStr">
        <is>
          <t>Doctype names are globally unique within a Frappe site; a doctype is not namespaced by the application that ships it. Two applications declaring the same name do not get one each. They get the *same* one, and whichever migrates last overwrites the other's definition, including the module field that records ownership.</t>
        </is>
      </c>
      <c r="M64" s="7" t="inlineStr">
        <is>
          <t>parsing all 297 doctype definitions across the eight applications yields only 293 distinct names. Three are declared by both batch_management and event_management:; Doctype; Declared by; Module recorded; Categories; batch_management / event_management; Batch Management / event_management; Event Category; batch_management / event_management; Batch Management / event_management; Reason For Visit; batch_management / event_management; Batch Management / event_management.</t>
        </is>
      </c>
      <c r="N64" s="7" t="inlineStr">
        <is>
          <t>evidence/doctype-schemas.json · suite/probes/compare-environments.mjs · findings/findings-log.md -&gt; WC-062</t>
        </is>
      </c>
      <c r="O64" s="7" t="inlineStr">
        <is>
          <t>one application owns each doctype; the other declares a dependency on it, or the names are made distinct.</t>
        </is>
      </c>
      <c r="P64" s="7" t="inlineStr">
        <is>
          <t>Verified</t>
        </is>
      </c>
      <c r="Q64" s="7" t="inlineStr">
        <is>
          <t>2026-09-20</t>
        </is>
      </c>
      <c r="R64" s="9" t="inlineStr">
        <is>
          <t>Open</t>
        </is>
      </c>
      <c r="S64" s="9" t="inlineStr"/>
      <c r="T64" s="9" t="inlineStr"/>
      <c r="U64" s="9" t="inlineStr">
        <is>
          <t>Open</t>
        </is>
      </c>
      <c r="V64" s="9" t="inlineStr">
        <is>
          <t>Open — awaiting fix</t>
        </is>
      </c>
      <c r="W64" s="7" t="inlineStr"/>
    </row>
    <row r="65">
      <c r="A65" s="6" t="inlineStr">
        <is>
          <t>WC-071</t>
        </is>
      </c>
      <c r="B65" s="7" t="inlineStr">
        <is>
          <t>Two independent centre-scoping mechanisms exist, and they can disagree</t>
        </is>
      </c>
      <c r="C65" s="11" t="inlineStr">
        <is>
          <t>S3 Major</t>
        </is>
      </c>
      <c r="D65" s="7" t="inlineStr">
        <is>
          <t>P3</t>
        </is>
      </c>
      <c r="E65" s="7" t="inlineStr">
        <is>
          <t>Placement Manager, shared login application</t>
        </is>
      </c>
      <c r="F65" s="7" t="inlineStr">
        <is>
          <t>/pm/waiting-for-mapping, /, /auth/google/callback, /authentication/forget-password</t>
        </is>
      </c>
      <c r="G65" s="7" t="inlineStr">
        <is>
          <t>Authorisation</t>
        </is>
      </c>
      <c r="H65" s="7" t="inlineStr">
        <is>
          <t>Phase 2</t>
        </is>
      </c>
      <c r="I65" s="7" t="inlineStr">
        <is>
          <t>Source review</t>
        </is>
      </c>
      <c r="J65" s="7" t="inlineStr">
        <is>
          <t>1. Sign in as an authenticated staff account — any authenticated account is enough.
2. Call authentication.api.auth.login with no special privileges.
3. Observe that the call is accepted rather than refused, and check whether anything changed.</t>
        </is>
      </c>
      <c r="K65" s="7" t="inlineStr">
        <is>
          <t>One centre-scoping mechanism is authoritative, and every path derives scope from it.</t>
        </is>
      </c>
      <c r="L65" s="7" t="inlineStr">
        <is>
          <t>See the register entry for impact.</t>
        </is>
      </c>
      <c r="M65" s="7" t="inlineStr">
        <is>
          <t>the platform scopes a user to centres two different ways.; Mechanism; Source of truth; References in code; permitted_centres; User Permission rows with allow="Lighthouse Centre", resolved at login; 89; Employee.custom_center; a Link field on the session user's Employee record; 58.</t>
        </is>
      </c>
      <c r="N65" s="7" t="inlineStr">
        <is>
          <t>evidence/authz-audit.json · findings/findings-log.md -&gt; WC-071</t>
        </is>
      </c>
      <c r="O65" s="7" t="inlineStr">
        <is>
          <t>derive one from the other, or have write paths consult permitted_centres as read paths do.</t>
        </is>
      </c>
      <c r="P65" s="7" t="inlineStr">
        <is>
          <t>Verified</t>
        </is>
      </c>
      <c r="Q65" s="7" t="inlineStr"/>
      <c r="R65" s="9" t="inlineStr">
        <is>
          <t>Open</t>
        </is>
      </c>
      <c r="S65" s="9" t="inlineStr"/>
      <c r="T65" s="9" t="inlineStr"/>
      <c r="U65" s="9" t="inlineStr">
        <is>
          <t>Open</t>
        </is>
      </c>
      <c r="V65" s="9" t="inlineStr">
        <is>
          <t>Open — awaiting fix</t>
        </is>
      </c>
      <c r="W65" s="7" t="inlineStr"/>
    </row>
    <row r="66">
      <c r="A66" s="6" t="inlineStr">
        <is>
          <t>WC-072</t>
        </is>
      </c>
      <c r="B66" s="7" t="inlineStr">
        <is>
          <t>A custom field makes ERPNext's Company creation fail</t>
        </is>
      </c>
      <c r="C66" s="11" t="inlineStr">
        <is>
          <t>S3 Major</t>
        </is>
      </c>
      <c r="D66" s="7" t="inlineStr">
        <is>
          <t>P3</t>
        </is>
      </c>
      <c r="E66" s="7" t="inlineStr">
        <is>
          <t>All personas / not role-specific</t>
        </is>
      </c>
      <c r="F66" s="7" t="inlineStr">
        <is>
          <t>no screen reaches this; see Steps</t>
        </is>
      </c>
      <c r="G66" s="7" t="inlineStr">
        <is>
          <t>Error handling</t>
        </is>
      </c>
      <c r="H66" s="7" t="inlineStr">
        <is>
          <t>Phase 2</t>
        </is>
      </c>
      <c r="I66" s="7" t="inlineStr">
        <is>
          <t>UAT / dev (read-only)</t>
        </is>
      </c>
      <c r="J66" s="7" t="inlineStr">
        <is>
          <t>1. On a clean install built from the repositories, attempt to create an ERPNext Company.
2. Submit the form with all mandatory fields completed.
3. Creation fails on the custom_abbr custom field, which has no default.</t>
        </is>
      </c>
      <c r="K66" s="7" t="inlineStr">
        <is>
          <t>A 4xx response with a message the caller can act on. No stack trace and no HTTP 500.</t>
        </is>
      </c>
      <c r="L66" s="7" t="inlineStr">
        <is>
          <t>See the register entry for impact.</t>
        </is>
      </c>
      <c r="M66" s="7" t="inlineStr">
        <is>
          <t>A custom field makes ERPNext's Company creation fail.</t>
        </is>
      </c>
      <c r="N66" s="7" t="inlineStr">
        <is>
          <t>evidence/validation-probe-results.json · suite/probes/validation-probe.mjs · findings/findings-log.md -&gt; WC-072</t>
        </is>
      </c>
      <c r="O66" s="7" t="inlineStr">
        <is>
          <t>give custom_abbr a default, or make it non-mandatory and validate it only where the application actually requires it.</t>
        </is>
      </c>
      <c r="P66" s="7" t="inlineStr">
        <is>
          <t>Verified</t>
        </is>
      </c>
      <c r="Q66" s="7" t="inlineStr"/>
      <c r="R66" s="9" t="inlineStr">
        <is>
          <t>Open</t>
        </is>
      </c>
      <c r="S66" s="9" t="inlineStr"/>
      <c r="T66" s="9" t="inlineStr"/>
      <c r="U66" s="9" t="inlineStr">
        <is>
          <t>Open</t>
        </is>
      </c>
      <c r="V66" s="9" t="inlineStr">
        <is>
          <t>Open — awaiting fix</t>
        </is>
      </c>
      <c r="W66" s="7" t="inlineStr"/>
    </row>
    <row r="67">
      <c r="A67" s="6" t="inlineStr">
        <is>
          <t>WC-074</t>
        </is>
      </c>
      <c r="B67" s="7" t="inlineStr">
        <is>
          <t>Write failures return HTTP 200, and the success flag is named inconsistently</t>
        </is>
      </c>
      <c r="C67" s="11" t="inlineStr">
        <is>
          <t>S3 Major</t>
        </is>
      </c>
      <c r="D67" s="7" t="inlineStr">
        <is>
          <t>P3</t>
        </is>
      </c>
      <c r="E67" s="7" t="inlineStr">
        <is>
          <t>Outreach Coordinator, Centre Head, Facilitator and Counsellor, Skilling Partner</t>
        </is>
      </c>
      <c r="F67" s="7" t="inlineStr">
        <is>
          <t>/oc/tasks, /ch/ch-tasks, /ch/individual-target, /ch/staff-monitoring, /fc/tasks, /sp/tasks</t>
        </is>
      </c>
      <c r="G67" s="7" t="inlineStr">
        <is>
          <t>API contract</t>
        </is>
      </c>
      <c r="H67" s="7" t="inlineStr">
        <is>
          <t>Phase 2</t>
        </is>
      </c>
      <c r="I67" s="7" t="inlineStr">
        <is>
          <t>Isolated stack (synthetic data)</t>
        </is>
      </c>
      <c r="J67" s="7" t="inlineStr">
        <is>
          <t>1. Sign in as an authenticated staff account.
2. Call outreach.apis.task.task.create_task in a way that must fail (an invalid identifier, a missing field).
3. Compare the HTTP status against the body's own success flag.</t>
        </is>
      </c>
      <c r="K67" s="7" t="inlineStr">
        <is>
          <t>The HTTP status matches the outcome: a failure returns 4xx/5xx, never 200, and the response shape is consistent.</t>
        </is>
      </c>
      <c r="L67" s="7" t="inlineStr">
        <is>
          <t>Retry logic, error reporting and any integration built against this API will be wrong in one direction or the other depending on which endpoint it calls and which key it checks. It also makes our own test assertions endpoint-specific rather than uniform, which is how we found it.</t>
        </is>
      </c>
      <c r="M67" s="7" t="inlineStr">
        <is>
          <t>Observed directly on the isolated instance, creating a Task through outreach.apis.task.task.create_task: - A rejected write is indistinguishable from an accepted one by status code. Both return 200. A caller that checks response.ok — which is the normal thing to do, and what most HTTP clients encourage — treats a refused creation as a successful one. The record does not exist; the caller believes it does.</t>
        </is>
      </c>
      <c r="N67" s="7" t="inlineStr">
        <is>
          <t>evidence/validation-probe-results.json · evidence/write-surface-classified.json · findings/findings-log.md -&gt; WC-074</t>
        </is>
      </c>
      <c r="O67" s="7" t="inlineStr">
        <is>
          <t>return 4xx for a rejected write, and use one flag name, in one case, across the API.</t>
        </is>
      </c>
      <c r="P67" s="7" t="inlineStr">
        <is>
          <t>Verified</t>
        </is>
      </c>
      <c r="Q67" s="7" t="inlineStr">
        <is>
          <t>2026-09-19</t>
        </is>
      </c>
      <c r="R67" s="9" t="inlineStr">
        <is>
          <t>Open</t>
        </is>
      </c>
      <c r="S67" s="9" t="inlineStr"/>
      <c r="T67" s="9" t="inlineStr"/>
      <c r="U67" s="9" t="inlineStr">
        <is>
          <t>Open</t>
        </is>
      </c>
      <c r="V67" s="9" t="inlineStr">
        <is>
          <t>Still present — RUNTIME 2026-10-20: close_batch returns HTTP 200 on failure</t>
        </is>
      </c>
      <c r="W67" s="7" t="inlineStr"/>
    </row>
    <row r="68">
      <c r="A68" s="6" t="inlineStr">
        <is>
          <t>WC-076</t>
        </is>
      </c>
      <c r="B68" s="7" t="inlineStr">
        <is>
          <t>update_task returns a 500 and a traceback when any field is omitted</t>
        </is>
      </c>
      <c r="C68" s="11" t="inlineStr">
        <is>
          <t>S3 Major</t>
        </is>
      </c>
      <c r="D68" s="7" t="inlineStr">
        <is>
          <t>P3</t>
        </is>
      </c>
      <c r="E68" s="7" t="inlineStr">
        <is>
          <t>All personas / not role-specific</t>
        </is>
      </c>
      <c r="F68" s="7" t="inlineStr">
        <is>
          <t>no screen reaches this; see Steps</t>
        </is>
      </c>
      <c r="G68" s="7" t="inlineStr">
        <is>
          <t>Error handling</t>
        </is>
      </c>
      <c r="H68" s="7" t="inlineStr">
        <is>
          <t>Phase 2</t>
        </is>
      </c>
      <c r="I68" s="7" t="inlineStr">
        <is>
          <t>UAT / dev (read-only)</t>
        </is>
      </c>
      <c r="J68" s="7" t="inlineStr">
        <is>
          <t>1. Sign in as an authenticated staff account.
2. Call outreach/apis/task/task.py, update_task omitting a required argument, or with an argument of the wrong type.
3. Read the HTTP status and the response body.</t>
        </is>
      </c>
      <c r="K68" s="7" t="inlineStr">
        <is>
          <t>A 4xx response with a message the caller can act on. No stack trace and no HTTP 500.</t>
        </is>
      </c>
      <c r="L68" s="7" t="inlineStr">
        <is>
          <t>See the register entry for impact.</t>
        </is>
      </c>
      <c r="M68" s="7" t="inlineStr">
        <is>
          <t>the handler reads five payload keys by direct subscript rather than .get(): subject, description, assign_to, priority, exp_end_date. Omitting any one raises KeyError, which the framework returns as HTTP 500 with a Python traceback — not a validation message.</t>
        </is>
      </c>
      <c r="N68" s="7" t="inlineStr">
        <is>
          <t>evidence/validation-probe-results.json · suite/probes/validation-probe.mjs · findings/findings-log.md -&gt; WC-076</t>
        </is>
      </c>
      <c r="O68" s="7" t="inlineStr">
        <is>
          <t>data.get(key) throughout, and return a 400 with the missing field named.</t>
        </is>
      </c>
      <c r="P68" s="7" t="inlineStr">
        <is>
          <t>Verified</t>
        </is>
      </c>
      <c r="Q68" s="7" t="inlineStr"/>
      <c r="R68" s="9" t="inlineStr">
        <is>
          <t>Open</t>
        </is>
      </c>
      <c r="S68" s="9" t="inlineStr"/>
      <c r="T68" s="9" t="inlineStr"/>
      <c r="U68" s="9" t="inlineStr">
        <is>
          <t>Open</t>
        </is>
      </c>
      <c r="V68" s="9" t="inlineStr">
        <is>
          <t>Open — awaiting fix</t>
        </is>
      </c>
      <c r="W68" s="7" t="inlineStr"/>
    </row>
    <row r="69">
      <c r="A69" s="6" t="inlineStr">
        <is>
          <t>WC-089</t>
        </is>
      </c>
      <c r="B69" s="7" t="inlineStr">
        <is>
          <t>Multiple whitelisted endpoints return HTTP 500 on a missing argument</t>
        </is>
      </c>
      <c r="C69" s="11" t="inlineStr">
        <is>
          <t>S3 Major</t>
        </is>
      </c>
      <c r="D69" s="7" t="inlineStr">
        <is>
          <t>P3</t>
        </is>
      </c>
      <c r="E69" s="7" t="inlineStr">
        <is>
          <t>Outreach Coordinator, Centre Head, Facilitator and Counsellor, Skilling Partner</t>
        </is>
      </c>
      <c r="F69" s="7" t="inlineStr">
        <is>
          <t>/oc/tasks, /ch/ch-tasks, /ch/individual-target, /ch/staff-monitoring, /fc/tasks, /sp/tasks</t>
        </is>
      </c>
      <c r="G69" s="7" t="inlineStr">
        <is>
          <t>Error handling</t>
        </is>
      </c>
      <c r="H69" s="7" t="inlineStr">
        <is>
          <t>Phase 2</t>
        </is>
      </c>
      <c r="I69" s="7" t="inlineStr">
        <is>
          <t>UAT / dev (read-only)</t>
        </is>
      </c>
      <c r="J69" s="7" t="inlineStr">
        <is>
          <t>1. Sign in as an authenticated staff account.
2. Call outreach.apis.task.task.update_task omitting a required argument, or with an argument of the wrong type.
3. Read the HTTP status and the response body.</t>
        </is>
      </c>
      <c r="K69" s="7" t="inlineStr">
        <is>
          <t>A 4xx response with a message the caller can act on. No stack trace and no HTTP 500.</t>
        </is>
      </c>
      <c r="L69" s="7" t="inlineStr">
        <is>
          <t>A caller that omits a field — or the frontend during a partial update — gets a 500 and a stack trace instead of a validation message naming the missing field. It compounds the traceback-disclosure finding (every one leaks framework paths) and makes the API hostile to integrate against.</t>
        </is>
      </c>
      <c r="M69" s="7" t="inlineStr">
        <is>
          <t>A recurring pattern, now confirmed on several endpoints: a whitelisted method with required positional parameters returns HTTP 500 with a traceback — not a clean 400 — when a parameter is absent, because Frappe raises TypeError: &lt;fn&gt;() missing N required positional arguments before the function body runs. - Why it matters. A caller that omits a field — or the frontend during a partial update — gets a 500 and a stack trace instead of a validation message naming the missing field.</t>
        </is>
      </c>
      <c r="N69" s="7" t="inlineStr">
        <is>
          <t>evidence/validation-probe-results.json · suite/probes/validation-probe.mjs · findings/findings-log.md -&gt; WC-089</t>
        </is>
      </c>
      <c r="O69" s="7" t="inlineStr">
        <is>
          <t>give optional parameters defaults and validate presence explicitly, returning 400 with the missing field named. This is idiomatic Frappe; the endpoints that get it right (e.g. create_task with .get()) show the pattern.</t>
        </is>
      </c>
      <c r="P69" s="7" t="inlineStr">
        <is>
          <t>Verified — runtime, pattern</t>
        </is>
      </c>
      <c r="Q69" s="7" t="inlineStr"/>
      <c r="R69" s="9" t="inlineStr">
        <is>
          <t>Open</t>
        </is>
      </c>
      <c r="S69" s="9" t="inlineStr"/>
      <c r="T69" s="9" t="inlineStr"/>
      <c r="U69" s="9" t="inlineStr">
        <is>
          <t>Open</t>
        </is>
      </c>
      <c r="V69" s="9" t="inlineStr">
        <is>
          <t>Still present — RUNTIME 2026-10-20: create_pre_enquiry, create_enquiry, raise_invoice, create return 500 on bad input instead of 400</t>
        </is>
      </c>
      <c r="W69" s="7" t="inlineStr"/>
    </row>
    <row r="70">
      <c r="A70" s="6" t="inlineStr">
        <is>
          <t>WC-096</t>
        </is>
      </c>
      <c r="B70" s="7" t="inlineStr">
        <is>
          <t>Skilling Invoice validate() raises a SQL error on a missing column</t>
        </is>
      </c>
      <c r="C70" s="11" t="inlineStr">
        <is>
          <t>S3 Major</t>
        </is>
      </c>
      <c r="D70" s="7" t="inlineStr">
        <is>
          <t>P3</t>
        </is>
      </c>
      <c r="E70" s="7" t="inlineStr">
        <is>
          <t>All personas / not role-specific</t>
        </is>
      </c>
      <c r="F70" s="7" t="inlineStr">
        <is>
          <t>no screen reaches this; see Steps</t>
        </is>
      </c>
      <c r="G70" s="7" t="inlineStr">
        <is>
          <t>Error handling</t>
        </is>
      </c>
      <c r="H70" s="7" t="inlineStr">
        <is>
          <t>Phase 2</t>
        </is>
      </c>
      <c r="I70" s="7" t="inlineStr">
        <is>
          <t>UAT / dev (read-only)</t>
        </is>
      </c>
      <c r="J70" s="7" t="inlineStr">
        <is>
          <t>1. Create or save a Skilling Invoice on an install built from the repositories.
2. The doctype's validate() method runs on save and queries a column that is not present in the schema.
3. The save fails with a SQL error naming the missing column.</t>
        </is>
      </c>
      <c r="K70" s="7" t="inlineStr">
        <is>
          <t>A 4xx response with a message the caller can act on. No stack trace and no HTTP 500.</t>
        </is>
      </c>
      <c r="L70" s="7" t="inlineStr">
        <is>
          <t>invoice creation through the ordinary path is affected by this. It did not block the S1 above (the invoice was seeded with validate skipped, then raised through the API, which does not re-run the failing validate branch), but it is a genuine defect in the invoice save path and the client's developers should confirm which invoice flows hit it in production.</t>
        </is>
      </c>
      <c r="M70" s="7" t="inlineStr">
        <is>
          <t>The earlier "observed, not root-caused" invoice SQL error is now located and confirmed as real. Creating a Skilling Invoice through the normal path fails in validate() (Unknown column 'skilling_batch' in 'WHERE'). The invoice created successfully only when validate was skipped (ignore_validate). So the invoice controller's validate logic contains a query referencing a column that does not exist in the queried table, and it fires on save. Impact: invoice creation through the ordinary path is affected by this.</t>
        </is>
      </c>
      <c r="N70" s="7" t="inlineStr">
        <is>
          <t>evidence/validation-probe-results.json · suite/probes/validation-probe.mjs · findings/findings-log.md -&gt; WC-096</t>
        </is>
      </c>
      <c r="O70" s="7" t="inlineStr">
        <is>
          <t>the validate() query references a column that does not exist on the table it queries (Unknown column 'skilling_batch' in 'WHERE'). Correct the column name, or the doctype it queries, so invoice creation through the ordinary path succeeds. A test that creates a Skilling Invoice without ignore_validate would have caught this. No such test exists today.</t>
        </is>
      </c>
      <c r="P70" s="7" t="inlineStr">
        <is>
          <t>Verified — corrects the earlier observation</t>
        </is>
      </c>
      <c r="Q70" s="7" t="inlineStr"/>
      <c r="R70" s="9" t="inlineStr">
        <is>
          <t>Open</t>
        </is>
      </c>
      <c r="S70" s="9" t="inlineStr"/>
      <c r="T70" s="9" t="inlineStr"/>
      <c r="U70" s="9" t="inlineStr">
        <is>
          <t>Open</t>
        </is>
      </c>
      <c r="V70" s="9" t="inlineStr">
        <is>
          <t>Open — awaiting fix</t>
        </is>
      </c>
      <c r="W70" s="7" t="inlineStr"/>
    </row>
    <row r="71">
      <c r="A71" s="6" t="inlineStr">
        <is>
          <t>WC-101</t>
        </is>
      </c>
      <c r="B71" s="7" t="inlineStr">
        <is>
          <t>add_remarks crashes with an unhandled ValueError on an empty sequence</t>
        </is>
      </c>
      <c r="C71" s="11" t="inlineStr">
        <is>
          <t>S3 Major</t>
        </is>
      </c>
      <c r="D71" s="7" t="inlineStr">
        <is>
          <t>P3</t>
        </is>
      </c>
      <c r="E71" s="7" t="inlineStr">
        <is>
          <t>Skilling Manager, Skilling Partner, Skilling Youth Coordinator</t>
        </is>
      </c>
      <c r="F71" s="7" t="inlineStr">
        <is>
          <t>/sm/follow-ups, /sp/follow-ups, /syc/assessments, /syc/assignments</t>
        </is>
      </c>
      <c r="G71" s="7" t="inlineStr">
        <is>
          <t>Error handling</t>
        </is>
      </c>
      <c r="H71" s="7" t="inlineStr">
        <is>
          <t>Phase 2</t>
        </is>
      </c>
      <c r="I71" s="7" t="inlineStr">
        <is>
          <t>UAT / dev (read-only)</t>
        </is>
      </c>
      <c r="J71" s="7" t="inlineStr">
        <is>
          <t>1. Sign in as an authenticated staff account.
2. Call youth_skilling.api.actions.add_remarks omitting a required argument, or with an argument of the wrong type.
3. Read the HTTP status and the response body.</t>
        </is>
      </c>
      <c r="K71" s="7" t="inlineStr">
        <is>
          <t>A 4xx response with a message the caller can act on. No stack trace and no HTTP 500.</t>
        </is>
      </c>
      <c r="L71" s="7" t="inlineStr">
        <is>
          <t>for any youth with no records in the collection being aggregated, adding a remark crashes with a 500 and a traceback rather than succeeding or returning a clean message. A common case — a youth early in the pipeline with no screening history — hits it.</t>
        </is>
      </c>
      <c r="M71" s="7" t="inlineStr">
        <is>
          <t>calling it for a youth in the Standby stage returned HTTP 500 with ValueError: max() arg is an empty sequence — the code calls max() over a collection (likely the youth's screening or call records) without handling the empty case.</t>
        </is>
      </c>
      <c r="N71" s="7" t="inlineStr">
        <is>
          <t>evidence/validation-probe-results.json · suite/probes/validation-probe.mjs · findings/findings-log.md -&gt; WC-101</t>
        </is>
      </c>
      <c r="O71" s="7" t="inlineStr">
        <is>
          <t>guard the aggregation (max(seq, default=...) or an emptiness check).</t>
        </is>
      </c>
      <c r="P71" s="7" t="inlineStr">
        <is>
          <t>Verified — runtime</t>
        </is>
      </c>
      <c r="Q71" s="7" t="inlineStr"/>
      <c r="R71" s="9" t="inlineStr">
        <is>
          <t>Open</t>
        </is>
      </c>
      <c r="S71" s="9" t="inlineStr"/>
      <c r="T71" s="9" t="inlineStr"/>
      <c r="U71" s="9" t="inlineStr">
        <is>
          <t>Open</t>
        </is>
      </c>
      <c r="V71" s="9" t="inlineStr">
        <is>
          <t>Open — awaiting fix</t>
        </is>
      </c>
      <c r="W71" s="7" t="inlineStr"/>
    </row>
    <row r="72">
      <c r="A72" s="6" t="inlineStr">
        <is>
          <t>WC-104</t>
        </is>
      </c>
      <c r="B72" s="7" t="inlineStr">
        <is>
          <t>mark_attendance requires a pre-existing attendance record, and says so only generically</t>
        </is>
      </c>
      <c r="C72" s="11" t="inlineStr">
        <is>
          <t>S3 Major</t>
        </is>
      </c>
      <c r="D72" s="7" t="inlineStr">
        <is>
          <t>P3</t>
        </is>
      </c>
      <c r="E72" s="7" t="inlineStr">
        <is>
          <t>Skilling Partner, Placement Manager</t>
        </is>
      </c>
      <c r="F72" s="7" t="inlineStr">
        <is>
          <t>/sp/assessment, /sp/assignment, /sp/assignment-test, /pm/calling-history, /pm/entrepreneurship, /pm/entrepreneurship/bus</t>
        </is>
      </c>
      <c r="G72" s="7" t="inlineStr">
        <is>
          <t>API contract</t>
        </is>
      </c>
      <c r="H72" s="7" t="inlineStr">
        <is>
          <t>Phase 2</t>
        </is>
      </c>
      <c r="I72" s="7" t="inlineStr">
        <is>
          <t>UAT / dev (read-only)</t>
        </is>
      </c>
      <c r="J72" s="7" t="inlineStr">
        <is>
          <t>1. Sign in as an authenticated staff account.
2. Call youth_skilling.api.batch_management.mark_attendance in a way that must fail (an invalid identifier, a missing field).
3. Compare the HTTP status against the body's own success flag.</t>
        </is>
      </c>
      <c r="K72" s="7" t="inlineStr">
        <is>
          <t>The HTTP status matches the outcome: a failure returns 4xx/5xx, never 200, and the response shape is consistent.</t>
        </is>
      </c>
      <c r="L72" s="7" t="inlineStr">
        <is>
          <t>an undocumented precondition. The endpoint's own docstring documents the payload shape but not the requirement that an attendance record already exist, and the generic top-level message sends an integrator looking at their payload rather than at the missing record.</t>
        </is>
      </c>
      <c r="M72" s="7" t="inlineStr">
        <is>
          <t>enrolling a youth in the batch's youth child table (Pathway Batch Student) is not sufficient. _apply_attendance looks up a Skilling Batch Attendance record for (skilling_batch_id, youth) and returns "Skilling Batch Attendance record not found for this youth." when absent; the caller sees the top-level "Failed to mark attendance.".</t>
        </is>
      </c>
      <c r="N72" s="7" t="inlineStr">
        <is>
          <t>evidence/validation-probe-results.json · evidence/write-surface-classified.json · findings/findings-log.md -&gt; WC-104</t>
        </is>
      </c>
      <c r="O72" s="7" t="inlineStr">
        <is>
          <t>either create the attendance record on demand, or surface the specific reason in the top-level message. Document the precondition in the docstring either way.</t>
        </is>
      </c>
      <c r="P72" s="7" t="inlineStr">
        <is>
          <t>Verified — runtime</t>
        </is>
      </c>
      <c r="Q72" s="7" t="inlineStr"/>
      <c r="R72" s="9" t="inlineStr">
        <is>
          <t>Open</t>
        </is>
      </c>
      <c r="S72" s="9" t="inlineStr"/>
      <c r="T72" s="9" t="inlineStr"/>
      <c r="U72" s="9" t="inlineStr">
        <is>
          <t>Open</t>
        </is>
      </c>
      <c r="V72" s="9" t="inlineStr">
        <is>
          <t>Open — awaiting fix</t>
        </is>
      </c>
      <c r="W72" s="7" t="inlineStr"/>
    </row>
    <row r="73">
      <c r="A73" s="6" t="inlineStr">
        <is>
          <t>WC-108</t>
        </is>
      </c>
      <c r="B73" s="7" t="inlineStr">
        <is>
          <t>db_create.py assigns undefined identifiers as database connection settings</t>
        </is>
      </c>
      <c r="C73" s="11" t="inlineStr">
        <is>
          <t>S3 Major</t>
        </is>
      </c>
      <c r="D73" s="7" t="inlineStr">
        <is>
          <t>P3</t>
        </is>
      </c>
      <c r="E73" s="7" t="inlineStr">
        <is>
          <t>All personas / not role-specific</t>
        </is>
      </c>
      <c r="F73" s="7" t="inlineStr">
        <is>
          <t>no screen reaches this; see Steps</t>
        </is>
      </c>
      <c r="G73" s="7" t="inlineStr">
        <is>
          <t>Handover / configuration</t>
        </is>
      </c>
      <c r="H73" s="7" t="inlineStr">
        <is>
          <t>Phase 2</t>
        </is>
      </c>
      <c r="I73" s="7" t="inlineStr">
        <is>
          <t>Source review</t>
        </is>
      </c>
      <c r="J73" s="7" t="inlineStr">
        <is>
          <t>Inspection, not a runtime reproduction.
1. Open Lighthouse-Communities-Foundation/data-pipeline-dashboard, db_create.py:4-8.
2. Confirm what the Actual Result column describes is present (or absent).
3. Full reasoning is in findings/findings-log.md under WC-108.</t>
        </is>
      </c>
      <c r="K73" s="7" t="inlineStr">
        <is>
          <t>Everything needed to build and run the platform is present in the repositories the foundation owns.</t>
        </is>
      </c>
      <c r="L73" s="7" t="inlineStr">
        <is>
          <t>the module cannot run as committed. Low severity: this repository is outside the WeConnect 2.0 platform under test.</t>
        </is>
      </c>
      <c r="M73" s="7" t="inlineStr">
        <is>
          <t>DB_HOST = yor_host_name, DB_NAME = database_name, DB_USER = user_name, DB_PASSWORD = db_password — bare identifiers, not strings, so the module raises NameError on import. Note the typo yor_host_name.</t>
        </is>
      </c>
      <c r="N73" s="7" t="inlineStr">
        <is>
          <t>evidence/doctype-schemas.json · suite/probes/compare-environments.mjs · findings/findings-log.md -&gt; WC-108</t>
        </is>
      </c>
      <c r="O73" s="7" t="inlineStr">
        <is>
          <t>read these from the environment (os.environ), as the Google credentials already are, and remove the placeholders.</t>
        </is>
      </c>
      <c r="P73" s="7" t="inlineStr">
        <is>
          <t>Verified — source</t>
        </is>
      </c>
      <c r="Q73" s="7" t="inlineStr"/>
      <c r="R73" s="9" t="inlineStr">
        <is>
          <t>Open</t>
        </is>
      </c>
      <c r="S73" s="9" t="inlineStr"/>
      <c r="T73" s="9" t="inlineStr"/>
      <c r="U73" s="9" t="inlineStr">
        <is>
          <t>Open</t>
        </is>
      </c>
      <c r="V73" s="9" t="inlineStr">
        <is>
          <t>Open — awaiting fix</t>
        </is>
      </c>
      <c r="W73" s="7" t="inlineStr"/>
    </row>
    <row r="74">
      <c r="A74" s="6" t="inlineStr">
        <is>
          <t>WC-114</t>
        </is>
      </c>
      <c r="B74" s="7" t="inlineStr">
        <is>
          <t>Mass assignment is blocked on one endpoint by design and on another only by an existing defect</t>
        </is>
      </c>
      <c r="C74" s="11" t="inlineStr">
        <is>
          <t>S3 Major</t>
        </is>
      </c>
      <c r="D74" s="7" t="inlineStr">
        <is>
          <t>P3</t>
        </is>
      </c>
      <c r="E74" s="7" t="inlineStr">
        <is>
          <t>Outreach Coordinator, Centre Head, Facilitator and Counsellor, Skilling Partner</t>
        </is>
      </c>
      <c r="F74" s="7" t="inlineStr">
        <is>
          <t>/oc/tasks, /ch/ch-tasks, /ch/individual-target, /ch/staff-monitoring, /fc/tasks, /sp/tasks</t>
        </is>
      </c>
      <c r="G74" s="7" t="inlineStr">
        <is>
          <t>Authorisation</t>
        </is>
      </c>
      <c r="H74" s="7" t="inlineStr">
        <is>
          <t>Phase 2 (security)</t>
        </is>
      </c>
      <c r="I74" s="7" t="inlineStr">
        <is>
          <t>Isolated stack (synthetic data)</t>
        </is>
      </c>
      <c r="J74" s="7" t="inlineStr">
        <is>
          <t>1. Sign in as an authenticated staff account.
2. Call outreach.apis.pre_enquiry.form.update_form_data with the fields it documents PLUS one it never mentions.
3. Read the record back from the database and check whether the undeclared field was written.</t>
        </is>
      </c>
      <c r="K74" s="7" t="inlineStr">
        <is>
          <t>Only the fields the endpoint declares are written. Any other field in the payload is rejected.</t>
        </is>
      </c>
      <c r="L74" s="7" t="inlineStr">
        <is>
          <t>See the register entry for impact.</t>
        </is>
      </c>
      <c r="M74" s="7" t="inlineStr">
        <is>
          <t>Tested in response to the OWASP coverage gap at API3 (Broken Object Property Level Authorization), which had not been examined. The result is mixed rather than clean. - Method. As the owning persona, create a record through the normal endpoint, then attempt to set protected or system-controlled properties through the endpoint's data payload, then read the record back from the database to see what actually persisted. Fields attempted: owner, docstatus, the centre link, and the workflow status.</t>
        </is>
      </c>
      <c r="N74" s="7" t="inlineStr">
        <is>
          <t>suite/probes/mass-assignment-probe.mjs · suite/probes/mass_assignment_scan.py · findings/findings-log.md -&gt; WC-114</t>
        </is>
      </c>
      <c r="O74" s="7" t="inlineStr">
        <is>
          <t>adopt the Pre Enquiry allowlist pattern across every endpoint that accepts a data payload, and add a test asserting that a system-controlled property such as owner or docstatus cannot be set through any of them.</t>
        </is>
      </c>
      <c r="P74" s="7" t="inlineStr">
        <is>
          <t>Verified — runtime, isolated instance</t>
        </is>
      </c>
      <c r="Q74" s="7" t="inlineStr"/>
      <c r="R74" s="9" t="inlineStr">
        <is>
          <t>Open</t>
        </is>
      </c>
      <c r="S74" s="9" t="inlineStr"/>
      <c r="T74" s="9" t="inlineStr"/>
      <c r="U74" s="9" t="inlineStr">
        <is>
          <t>Open</t>
        </is>
      </c>
      <c r="V74" s="9" t="inlineStr">
        <is>
          <t>Open — awaiting fix</t>
        </is>
      </c>
      <c r="W74" s="7" t="inlineStr"/>
    </row>
    <row r="75">
      <c r="A75" s="6" t="inlineStr">
        <is>
          <t>WC-117</t>
        </is>
      </c>
      <c r="B75" s="7" t="inlineStr">
        <is>
          <t>Brute-force lockout is applied per source IP as well as per account, and reports itself as a server error</t>
        </is>
      </c>
      <c r="C75" s="11" t="inlineStr">
        <is>
          <t>S3 Major</t>
        </is>
      </c>
      <c r="D75" s="7" t="inlineStr">
        <is>
          <t>P3</t>
        </is>
      </c>
      <c r="E75" s="7" t="inlineStr">
        <is>
          <t>any persona (login)</t>
        </is>
      </c>
      <c r="F75" s="7" t="inlineStr">
        <is>
          <t>no screen reaches this; see Steps</t>
        </is>
      </c>
      <c r="G75" s="7" t="inlineStr">
        <is>
          <t>Security configuration</t>
        </is>
      </c>
      <c r="H75" s="7" t="inlineStr">
        <is>
          <t>Phase 2 (security)</t>
        </is>
      </c>
      <c r="I75" s="7" t="inlineStr">
        <is>
          <t>Source review</t>
        </is>
      </c>
      <c r="J75" s="7" t="inlineStr">
        <is>
          <t>1. No sign-in needed for the header checks.
2. Issue the request described in the Actual Result column against the deployed host.
3. Inspect the response headers (or the cookie attributes) rather than the body.
4. Fastest route: node verify/run.mjs --only WC-117</t>
        </is>
      </c>
      <c r="K75" s="7" t="inlineStr">
        <is>
          <t>The protective setting is in place and the unsafe request is refused.</t>
        </is>
      </c>
      <c r="L75" s="7" t="inlineStr">
        <is>
          <t>See the register entry for impact.</t>
        </is>
      </c>
      <c r="M75" s="7" t="inlineStr">
        <is>
          <t>after failed attempts against one account, a *different* account was refused from the same address on its first attempt.</t>
        </is>
      </c>
      <c r="N75" s="7" t="inlineStr">
        <is>
          <t>verify/run.mjs · findings/findings-log.md -&gt; WC-117</t>
        </is>
      </c>
      <c r="O75" s="7" t="inlineStr">
        <is>
          <t>return 429 with a Retry-After header rather than 500. Review whether the per-IP tracker is appropriate for a deployment where many legitimate users share an address, and if it is retained, set its threshold well above the per-account one.</t>
        </is>
      </c>
      <c r="P75" s="7" t="inlineStr">
        <is>
          <t>Verified — runtime</t>
        </is>
      </c>
      <c r="Q75" s="7" t="inlineStr"/>
      <c r="R75" s="9" t="inlineStr">
        <is>
          <t>Open</t>
        </is>
      </c>
      <c r="S75" s="9" t="inlineStr"/>
      <c r="T75" s="9" t="inlineStr"/>
      <c r="U75" s="9" t="inlineStr">
        <is>
          <t>Open</t>
        </is>
      </c>
      <c r="V75" s="9" t="inlineStr">
        <is>
          <t>Open — awaiting fix</t>
        </is>
      </c>
      <c r="W75" s="7" t="inlineStr"/>
    </row>
    <row r="76">
      <c r="A76" s="6" t="inlineStr">
        <is>
          <t>WC-127</t>
        </is>
      </c>
      <c r="B76" s="7" t="inlineStr">
        <is>
          <t>Frontend dependencies carry known high-severity advisories, including the HTTP client used by every application</t>
        </is>
      </c>
      <c r="C76" s="11" t="inlineStr">
        <is>
          <t>S3 Major</t>
        </is>
      </c>
      <c r="D76" s="7" t="inlineStr">
        <is>
          <t>P3</t>
        </is>
      </c>
      <c r="E76" s="7" t="inlineStr">
        <is>
          <t>All personas / not role-specific</t>
        </is>
      </c>
      <c r="F76" s="7" t="inlineStr">
        <is>
          <t>no screen reaches this; see Steps</t>
        </is>
      </c>
      <c r="G76" s="7" t="inlineStr">
        <is>
          <t>Build hygiene</t>
        </is>
      </c>
      <c r="H76" s="7" t="inlineStr">
        <is>
          <t>Phase 2 (security)</t>
        </is>
      </c>
      <c r="I76" s="7" t="inlineStr">
        <is>
          <t>Source review</t>
        </is>
      </c>
      <c r="J76" s="7" t="inlineStr">
        <is>
          <t>Inspection, not a runtime reproduction.
1. In each of the nine JavaScript projects, run: npm audit --audit-level=high
2. Compare against the split in the register entry: 8 packages reach users, 26 are build or test only.
3. Confirm the four critical advisories are all in build or test tooling.</t>
        </is>
      </c>
      <c r="K76" s="7" t="inlineStr">
        <is>
          <t>Build and release hygiene: no development artefacts, warnings or broken copy in a deployed application.</t>
        </is>
      </c>
      <c r="L76" s="7" t="inlineStr">
        <is>
          <t>See the register entry for impact.</t>
        </is>
      </c>
      <c r="M76" s="7" t="inlineStr">
        <is>
          <t>npm audit across the nine committed lockfiles reports 14 critical, 181 high, 74 moderate, 9 low. Separating runtime from build dependencies: 8 distinct critical/high packages reach users, 26 do not. All four criticals are test tooling (vitest, tinypool, @vitest/coverage-v8, a form-data path beneath them). axios, the HTTP client used to call the backend, is affected in 8 of 9 projects; the react-router family in 5.</t>
        </is>
      </c>
      <c r="N76" s="7" t="inlineStr">
        <is>
          <t>npm audit output per project · findings/findings-log.md -&gt; WC-127</t>
        </is>
      </c>
      <c r="O76" s="7" t="inlineStr">
        <is>
          <t>Run npm audit fix in each project and commit the updated lockfile. Start with axios: highest value, lowest risk. Treat any react-router major upgrade as separate work, since it interacts with WC-043. Add npm audit --audit-level=high to CI, which currently has no dependency check.</t>
        </is>
      </c>
      <c r="P76" s="7" t="inlineStr">
        <is>
          <t>Verified — npm audit against the committed lockfiles, 2026-10-06</t>
        </is>
      </c>
      <c r="Q76" s="7" t="inlineStr">
        <is>
          <t>2026-10-06</t>
        </is>
      </c>
      <c r="R76" s="9" t="inlineStr">
        <is>
          <t>Open</t>
        </is>
      </c>
      <c r="S76" s="9" t="inlineStr"/>
      <c r="T76" s="9" t="inlineStr"/>
      <c r="U76" s="9" t="inlineStr">
        <is>
          <t>Open</t>
        </is>
      </c>
      <c r="V76" s="9" t="inlineStr">
        <is>
          <t>Open — awaiting fix</t>
        </is>
      </c>
      <c r="W76" s="7" t="inlineStr"/>
    </row>
    <row r="77">
      <c r="A77" s="6" t="inlineStr">
        <is>
          <t>WC-129</t>
        </is>
      </c>
      <c r="B77" s="7" t="inlineStr">
        <is>
          <t>Two live Google API keys are committed to the repositories, one hardcoded in a source file</t>
        </is>
      </c>
      <c r="C77" s="11" t="inlineStr">
        <is>
          <t>S3 Major</t>
        </is>
      </c>
      <c r="D77" s="7" t="inlineStr">
        <is>
          <t>P3</t>
        </is>
      </c>
      <c r="E77" s="7" t="inlineStr">
        <is>
          <t>not role-specific</t>
        </is>
      </c>
      <c r="F77" s="7" t="inlineStr">
        <is>
          <t>no screen reaches this; see Steps</t>
        </is>
      </c>
      <c r="G77" s="7" t="inlineStr">
        <is>
          <t>Build hygiene</t>
        </is>
      </c>
      <c r="H77" s="7" t="inlineStr">
        <is>
          <t>Phase 2 (security)</t>
        </is>
      </c>
      <c r="I77" s="7" t="inlineStr">
        <is>
          <t>Source review</t>
        </is>
      </c>
      <c r="J77" s="7" t="inlineStr">
        <is>
          <t>1. Search the repositories for the AIzaSy prefix: grep -rn 'AIzaSy' .
2. Two distinct keys appear: in weconnect-frontend/.env* as VITE_MAP_API_KEY, and hardcoded in weconnect-frontend-fc/src/components/google-map/google-map.jsx.
3. Both are present in git history, so they persist across earlier commits.</t>
        </is>
      </c>
      <c r="K77" s="7" t="inlineStr">
        <is>
          <t>No API key is committed; keys live in the build environment and are restricted by HTTP referrer.</t>
        </is>
      </c>
      <c r="L77" s="7" t="inlineStr">
        <is>
          <t>Keys with the AIzaSy prefix are what automated scanners harvest from public repositories, and this repository has been public twice. The protection here is incidental, not designed.</t>
        </is>
      </c>
      <c r="M77" s="7" t="inlineStr">
        <is>
          <t>Two keys committed. Tested with one Geocoding request each and no referrer: the first returns REQUEST_DENIED "You must enable Billing" (cannot be charged); the second returns REQUEST_DENIED "This API is not activated". Neither is currently usable, which is why this is S3.</t>
        </is>
      </c>
      <c r="N77" s="7" t="inlineStr">
        <is>
          <t>source + live key test · findings/findings-log.md -&gt; WC-129</t>
        </is>
      </c>
      <c r="O77" s="7" t="inlineStr">
        <is>
          <t>Rotate both keys in the Google Cloud console (deleting the lines does not help — they are in git history). Move the replacement into the build environment, restrict by HTTP referrer to the foundation's hosts, and remove the hardcoded key from google-map.jsx.</t>
        </is>
      </c>
      <c r="P77" s="7" t="inlineStr">
        <is>
          <t>Verified — source</t>
        </is>
      </c>
      <c r="Q77" s="7" t="inlineStr">
        <is>
          <t>2026-10-06</t>
        </is>
      </c>
      <c r="R77" s="9" t="inlineStr">
        <is>
          <t>Open</t>
        </is>
      </c>
      <c r="S77" s="9" t="inlineStr"/>
      <c r="T77" s="9" t="inlineStr"/>
      <c r="U77" s="9" t="inlineStr">
        <is>
          <t>Open</t>
        </is>
      </c>
      <c r="V77" s="9" t="inlineStr">
        <is>
          <t>Partially fixed — source hardcode gone; key still committed in .env/.env.prod/.env.uat (rotate + purge history)</t>
        </is>
      </c>
      <c r="W77" s="7" t="inlineStr"/>
    </row>
    <row r="78">
      <c r="A78" s="6" t="inlineStr">
        <is>
          <t>WC-130</t>
        </is>
      </c>
      <c r="B78" s="7" t="inlineStr">
        <is>
          <t>Backend-supplied content is rendered as raw HTML, giving a stored cross-site scripting path</t>
        </is>
      </c>
      <c r="C78" s="11" t="inlineStr">
        <is>
          <t>S3 Major</t>
        </is>
      </c>
      <c r="D78" s="7" t="inlineStr">
        <is>
          <t>P3</t>
        </is>
      </c>
      <c r="E78" s="7" t="inlineStr">
        <is>
          <t>Outreach Coordinator (community dashboard viewer)</t>
        </is>
      </c>
      <c r="F78" s="7" t="inlineStr">
        <is>
          <t>/oc community dashboard (outreach-community)</t>
        </is>
      </c>
      <c r="G78" s="7" t="inlineStr">
        <is>
          <t>Frontend</t>
        </is>
      </c>
      <c r="H78" s="7" t="inlineStr">
        <is>
          <t>Phase 2 (security)</t>
        </is>
      </c>
      <c r="I78" s="7" t="inlineStr">
        <is>
          <t>Source review</t>
        </is>
      </c>
      <c r="J78" s="7" t="inlineStr">
        <is>
          <t>1. Open weconnect-frontend/src/pages/outreach-planning/outreach-community/target-card.jsx:147.
2. The recommended-strategy text is rendered via dangerouslySetInnerHTML, which disables React's escaping.
3. Confirm whether the strategy field is editable by any persona (see the open question below).</t>
        </is>
      </c>
      <c r="K78" s="7" t="inlineStr">
        <is>
          <t>User-supplied content is escaped or sanitised before rendering; raw HTML is not injected.</t>
        </is>
      </c>
      <c r="L78" s="7" t="inlineStr">
        <is>
          <t>If the strategy text is writable by any persona, a script stored in that field executes in the browser of every user who opens the community dashboard — stored XSS. If only administrators can write it, the practical risk is small.</t>
        </is>
      </c>
      <c r="M78" s="7" t="inlineStr">
        <is>
          <t>One dangerouslySetInnerHTML across the entire frontend estate, at target-card.jsx:147, rendering the backend-supplied 'strategy' string as raw HTML. Whether the field is user-writable is not yet confirmed.</t>
        </is>
      </c>
      <c r="N78" s="7" t="inlineStr">
        <is>
          <t>source: target-card.jsx:147 · findings/findings-log.md -&gt; WC-130</t>
        </is>
      </c>
      <c r="O78" s="7" t="inlineStr">
        <is>
          <t>If the field only needs bold or line breaks, render as text and format in the component. If HTML must be supported, sanitise on input with an allowlist (DOMPurify). First answer: who can edit the recommended strategy text?</t>
        </is>
      </c>
      <c r="P78" s="7" t="inlineStr">
        <is>
          <t>Verified — source</t>
        </is>
      </c>
      <c r="Q78" s="7" t="inlineStr">
        <is>
          <t>2026-10-06</t>
        </is>
      </c>
      <c r="R78" s="9" t="inlineStr">
        <is>
          <t>Open</t>
        </is>
      </c>
      <c r="S78" s="9" t="inlineStr"/>
      <c r="T78" s="9" t="inlineStr"/>
      <c r="U78" s="9" t="inlineStr">
        <is>
          <t>Open</t>
        </is>
      </c>
      <c r="V78" s="9" t="inlineStr">
        <is>
          <t>Fixed (retest 2026-10-20) — stored-XSS sink removed; zero dangerouslySetInnerHTML</t>
        </is>
      </c>
      <c r="W78" s="7" t="inlineStr"/>
    </row>
    <row r="79">
      <c r="A79" s="6" t="inlineStr">
        <is>
          <t>WC-134</t>
        </is>
      </c>
      <c r="B79" s="7" t="inlineStr">
        <is>
          <t>264 image elements across the frontend have no alt attribute, concentrated in shared components</t>
        </is>
      </c>
      <c r="C79" s="11" t="inlineStr">
        <is>
          <t>S3 Major</t>
        </is>
      </c>
      <c r="D79" s="7" t="inlineStr">
        <is>
          <t>P3</t>
        </is>
      </c>
      <c r="E79" s="7" t="inlineStr">
        <is>
          <t>all personas</t>
        </is>
      </c>
      <c r="F79" s="7" t="inlineStr">
        <is>
          <t>shared components + 107 page-level</t>
        </is>
      </c>
      <c r="G79" s="7" t="inlineStr">
        <is>
          <t>Accessibility</t>
        </is>
      </c>
      <c r="H79" s="7" t="inlineStr">
        <is>
          <t>Phase 2 (security)</t>
        </is>
      </c>
      <c r="I79" s="7" t="inlineStr">
        <is>
          <t>Source review</t>
        </is>
      </c>
      <c r="J79" s="7" t="inlineStr">
        <is>
          <t>1. In any frontend repo run: grep -rn '&lt;img' src; grep -v alt= (or run axe DevTools on any page).
2. Confirm the &lt;img&gt; elements have no alt attribute.
3. Start with the 157 in shared/common components — fixing those helps every screen that uses them.</t>
        </is>
      </c>
      <c r="K79" s="7" t="inlineStr">
        <is>
          <t>Every &lt;img&gt; has an alt attribute: descriptive for meaningful images, empty (alt="") for decorative ones.</t>
        </is>
      </c>
      <c r="L79" s="7" t="inlineStr">
        <is>
          <t>An &lt;img&gt; with no alt is invisible to a screen reader or announced by filename. A WCAG 2.1 AA gap (1.1.1), compounding WC-027.</t>
        </is>
      </c>
      <c r="M79" s="7" t="inlineStr">
        <is>
          <t>264 &lt;img&gt; with no alt across the estate — SM 72, SP 59, SYC 49, FC 27, persona-common 27, CH 17, OC 13. 157 sit in shared components.</t>
        </is>
      </c>
      <c r="N79" s="7" t="inlineStr">
        <is>
          <t>source scan: 264 across 8 repos · findings/findings-log.md -&gt; WC-134</t>
        </is>
      </c>
      <c r="O79" s="7" t="inlineStr">
        <is>
          <t>Add alt="" to decorative images and a short description to meaningful ones, shared components first. Add the jsx-a11y/alt-text lint rule to prevent recurrence.</t>
        </is>
      </c>
      <c r="P79" s="7" t="inlineStr">
        <is>
          <t>Verified — source, all eight repos</t>
        </is>
      </c>
      <c r="Q79" s="7" t="inlineStr">
        <is>
          <t>2026-10-06</t>
        </is>
      </c>
      <c r="R79" s="9" t="inlineStr">
        <is>
          <t>Open</t>
        </is>
      </c>
      <c r="S79" s="9" t="inlineStr"/>
      <c r="T79" s="9" t="inlineStr"/>
      <c r="U79" s="9" t="inlineStr">
        <is>
          <t>Open</t>
        </is>
      </c>
      <c r="V79" s="9" t="inlineStr">
        <is>
          <t>Partially fixed — 204 img without alt (was 264)</t>
        </is>
      </c>
      <c r="W79" s="7" t="inlineStr"/>
    </row>
    <row r="80">
      <c r="A80" s="6" t="inlineStr">
        <is>
          <t>WC-136</t>
        </is>
      </c>
      <c r="B80" s="7" t="inlineStr">
        <is>
          <t>Seven further routes throw an uncaught error and blank the screen for an account with no assigned centres</t>
        </is>
      </c>
      <c r="C80" s="11" t="inlineStr">
        <is>
          <t>S3 Major</t>
        </is>
      </c>
      <c r="D80" s="7" t="inlineStr">
        <is>
          <t>P3</t>
        </is>
      </c>
      <c r="E80" s="7" t="inlineStr">
        <is>
          <t>OC, CH, FC — any account with no assigned centres</t>
        </is>
      </c>
      <c r="F80" s="7" t="inlineStr">
        <is>
          <t>7 routes (see steps)</t>
        </is>
      </c>
      <c r="G80" s="7" t="inlineStr">
        <is>
          <t>Frontend</t>
        </is>
      </c>
      <c r="H80" s="7" t="inlineStr">
        <is>
          <t>Phase 2 (security)</t>
        </is>
      </c>
      <c r="I80" s="7" t="inlineStr">
        <is>
          <t>UAT / dev (read-only, interaction sweep)</t>
        </is>
      </c>
      <c r="J80" s="7" t="inlineStr">
        <is>
          <t>1. Account: sign in as FC — kak713.fc@lighthouseconnect.org / Kak@123 (an account with no assigned centres).
2. Paste into the address bar: uat.lighthouseconnect.org/fc/view-feedBack and press Enter.
3. The screen is blank. F12 -&gt; Console -&gt; read: 'Cannot destructure property youthId of null'.
4. Repeat as CH for /ch/budget-profile, /ch/program-targets, /ch/person-wise-target; and as OC for /oc/outreach-planning-dashboard, /oc/batch-management/merge-batch — each throws an uncaught error.
5. Re-check with a fully provisioned account to confirm whether each crashes for everyone or only on the empty-data path.</t>
        </is>
      </c>
      <c r="K80" s="7" t="inlineStr">
        <is>
          <t>A screen loaded by an account with no data shows an empty state, not a blank crash.</t>
        </is>
      </c>
      <c r="L80" s="7" t="inlineStr">
        <is>
          <t>These screens assume data is present and throw when permitted_centres is empty — a real state for newly-onboarded staff. With no error boundary (WC-133), the whole screen blanks. Same family as WC-043.</t>
        </is>
      </c>
      <c r="M80" s="7" t="inlineStr">
        <is>
          <t>Uncaught JS errors on: fc/view-feedBack ('Cannot destructure property youthId of null'), ch/budget-profile, ch/program-targets, ch/person-wise-target, ch/person-wise-target-planning, oc/outreach-planning-dashboard, oc/batch-management/merge-batch.</t>
        </is>
      </c>
      <c r="N80" s="7" t="inlineStr">
        <is>
          <t>data/interaction-findings.json · findings/findings-log.md -&gt; WC-136</t>
        </is>
      </c>
      <c r="O80" s="7" t="inlineStr">
        <is>
          <t>Guard the data access on these screens (optional chaining + an explicit empty state), and add the WC-133 error boundary so any residual crash is contained. fc/view-feedBack: guard the youthId destructure.</t>
        </is>
      </c>
      <c r="P80" s="7" t="inlineStr">
        <is>
          <t>Verified — runtime interaction sweep</t>
        </is>
      </c>
      <c r="Q80" s="7" t="inlineStr">
        <is>
          <t>2026-10-06</t>
        </is>
      </c>
      <c r="R80" s="9" t="inlineStr">
        <is>
          <t>Open</t>
        </is>
      </c>
      <c r="S80" s="9" t="inlineStr"/>
      <c r="T80" s="9" t="inlineStr"/>
      <c r="U80" s="9" t="inlineStr">
        <is>
          <t>Open</t>
        </is>
      </c>
      <c r="V80" s="9" t="inlineStr">
        <is>
          <t>Open — awaiting fix</t>
        </is>
      </c>
      <c r="W80" s="7" t="inlineStr"/>
    </row>
    <row r="81">
      <c r="A81" s="6" t="inlineStr">
        <is>
          <t>WC-007</t>
        </is>
      </c>
      <c r="B81" s="7" t="inlineStr">
        <is>
          <t>Source-tree asset path in built app</t>
        </is>
      </c>
      <c r="C81" s="12" t="inlineStr">
        <is>
          <t>S4 Minor</t>
        </is>
      </c>
      <c r="D81" s="7" t="inlineStr">
        <is>
          <t>P4</t>
        </is>
      </c>
      <c r="E81" s="7" t="inlineStr">
        <is>
          <t>All personas / not role-specific</t>
        </is>
      </c>
      <c r="F81" s="7" t="inlineStr">
        <is>
          <t>no screen reaches this; see Steps</t>
        </is>
      </c>
      <c r="G81" s="7" t="inlineStr">
        <is>
          <t>Build hygiene</t>
        </is>
      </c>
      <c r="H81" s="7" t="inlineStr">
        <is>
          <t>Phase 1</t>
        </is>
      </c>
      <c r="I81" s="7" t="inlineStr">
        <is>
          <t>Source review</t>
        </is>
      </c>
      <c r="J81" s="7" t="inlineStr">
        <is>
          <t>Inspection, not a runtime reproduction.
1. Open the built bundle of any persona app — search it for source-tree asset paths.
2. Confirm what the Actual Result column describes is present (or absent).
3. Full reasoning is in findings/findings-log.md under WC-007.</t>
        </is>
      </c>
      <c r="K81" s="7" t="inlineStr">
        <is>
          <t>Build and release hygiene: no development artefacts, warnings or broken copy in a deployed application.</t>
        </is>
      </c>
      <c r="L81" s="7" t="inlineStr">
        <is>
          <t>See the register entry for impact.</t>
        </is>
      </c>
      <c r="M81" s="7" t="inlineStr">
        <is>
          <t>login requests /src/assets/icons/logo_transparent.png (unbundled source path)</t>
        </is>
      </c>
      <c r="N81" s="7" t="inlineStr">
        <is>
          <t>findings/findings-log.md -&gt; WC-007</t>
        </is>
      </c>
      <c r="O81" s="7" t="inlineStr">
        <is>
          <t>import the asset so the bundler fingerprints and rewrites its path, rather than referencing /src/... literally. As shipped the path only resolves by accident of how the site is served, and will 404 under any stricter static configuration.</t>
        </is>
      </c>
      <c r="P81" s="7" t="inlineStr">
        <is>
          <t>Not recorded</t>
        </is>
      </c>
      <c r="Q81" s="7" t="inlineStr"/>
      <c r="R81" s="9" t="inlineStr">
        <is>
          <t>Open</t>
        </is>
      </c>
      <c r="S81" s="9" t="inlineStr"/>
      <c r="T81" s="9" t="inlineStr"/>
      <c r="U81" s="9" t="inlineStr">
        <is>
          <t>Open</t>
        </is>
      </c>
      <c r="V81" s="9" t="inlineStr">
        <is>
          <t>Open — awaiting fix</t>
        </is>
      </c>
      <c r="W81" s="7" t="inlineStr"/>
    </row>
    <row r="82">
      <c r="A82" s="6" t="inlineStr">
        <is>
          <t>WC-008</t>
        </is>
      </c>
      <c r="B82" s="7" t="inlineStr">
        <is>
          <t>Broken grammar in user-facing error</t>
        </is>
      </c>
      <c r="C82" s="12" t="inlineStr">
        <is>
          <t>S4 Minor</t>
        </is>
      </c>
      <c r="D82" s="7" t="inlineStr">
        <is>
          <t>P4</t>
        </is>
      </c>
      <c r="E82" s="7" t="inlineStr">
        <is>
          <t>All personas / not role-specific</t>
        </is>
      </c>
      <c r="F82" s="7" t="inlineStr">
        <is>
          <t>no screen reaches this; see Steps</t>
        </is>
      </c>
      <c r="G82" s="7" t="inlineStr">
        <is>
          <t>Build hygiene</t>
        </is>
      </c>
      <c r="H82" s="7" t="inlineStr">
        <is>
          <t>Phase 1</t>
        </is>
      </c>
      <c r="I82" s="7" t="inlineStr">
        <is>
          <t>UAT / dev (read-only)</t>
        </is>
      </c>
      <c r="J82" s="7" t="inlineStr">
        <is>
          <t>Inspection, not a runtime reproduction.
1. Open the user-facing error string named in the Actual Result column.
2. Confirm what the Actual Result column describes is present (or absent).
3. Full reasoning is in findings/findings-log.md under WC-008.</t>
        </is>
      </c>
      <c r="K82" s="7" t="inlineStr">
        <is>
          <t>Build and release hygiene: no development artefacts, warnings or broken copy in a deployed application.</t>
        </is>
      </c>
      <c r="L82" s="7" t="inlineStr">
        <is>
          <t>See the register entry for impact.</t>
        </is>
      </c>
      <c r="M82" s="7" t="inlineStr">
        <is>
          <t>"Failed to Target data." (FC dashboard target fetch failure)</t>
        </is>
      </c>
      <c r="N82" s="7" t="inlineStr">
        <is>
          <t>findings/findings-log.md -&gt; WC-008</t>
        </is>
      </c>
      <c r="O82" s="7" t="inlineStr">
        <is>
          <t>correct the string to a sentence — for example "Could not load target data." The same screen's underlying 404 is recorded separately; this item is only the wording.</t>
        </is>
      </c>
      <c r="P82" s="7" t="inlineStr">
        <is>
          <t>Not recorded</t>
        </is>
      </c>
      <c r="Q82" s="7" t="inlineStr"/>
      <c r="R82" s="9" t="inlineStr">
        <is>
          <t>Open</t>
        </is>
      </c>
      <c r="S82" s="9" t="inlineStr"/>
      <c r="T82" s="9" t="inlineStr"/>
      <c r="U82" s="9" t="inlineStr">
        <is>
          <t>Open</t>
        </is>
      </c>
      <c r="V82" s="9" t="inlineStr">
        <is>
          <t>Open — awaiting fix</t>
        </is>
      </c>
      <c r="W82" s="7" t="inlineStr"/>
    </row>
    <row r="83">
      <c r="A83" s="6" t="inlineStr">
        <is>
          <t>WC-009</t>
        </is>
      </c>
      <c r="B83" s="7" t="inlineStr">
        <is>
          <t>React Router v6 future-flag warnings</t>
        </is>
      </c>
      <c r="C83" s="12" t="inlineStr">
        <is>
          <t>S4 Minor</t>
        </is>
      </c>
      <c r="D83" s="7" t="inlineStr">
        <is>
          <t>P4</t>
        </is>
      </c>
      <c r="E83" s="7" t="inlineStr">
        <is>
          <t>All personas / not role-specific</t>
        </is>
      </c>
      <c r="F83" s="7" t="inlineStr">
        <is>
          <t>no screen reaches this; see Steps</t>
        </is>
      </c>
      <c r="G83" s="7" t="inlineStr">
        <is>
          <t>Build hygiene</t>
        </is>
      </c>
      <c r="H83" s="7" t="inlineStr">
        <is>
          <t>Phase 1</t>
        </is>
      </c>
      <c r="I83" s="7" t="inlineStr">
        <is>
          <t>UAT / dev (read-only)</t>
        </is>
      </c>
      <c r="J83" s="7" t="inlineStr">
        <is>
          <t>Inspection, not a runtime reproduction.
1. Open the browser console on any route of any persona app.
2. Confirm what the Actual Result column describes is present (or absent).
3. Full reasoning is in findings/findings-log.md under WC-009.</t>
        </is>
      </c>
      <c r="K83" s="7" t="inlineStr">
        <is>
          <t>Build and release hygiene: no development artefacts, warnings or broken copy in a deployed application.</t>
        </is>
      </c>
      <c r="L83" s="7" t="inlineStr">
        <is>
          <t>See the register entry for impact.</t>
        </is>
      </c>
      <c r="M83" s="7" t="inlineStr">
        <is>
          <t>console warnings, v7_startTransition / v7_relativeSplatPath. Tech-debt, not user-facing.</t>
        </is>
      </c>
      <c r="N83" s="7" t="inlineStr">
        <is>
          <t>findings/findings-log.md -&gt; WC-009</t>
        </is>
      </c>
      <c r="O83" s="7" t="inlineStr">
        <is>
          <t>opt in to the v7 behaviours now (v7_startTransition, v7_relativeSplatPath) so the eventual upgrade is a no-op, or pin the router version and record the decision. Console noise is the visible symptom; the real cost is that genuine warnings are lost among it.</t>
        </is>
      </c>
      <c r="P83" s="7" t="inlineStr">
        <is>
          <t>Not recorded</t>
        </is>
      </c>
      <c r="Q83" s="7" t="inlineStr"/>
      <c r="R83" s="9" t="inlineStr">
        <is>
          <t>Open</t>
        </is>
      </c>
      <c r="S83" s="9" t="inlineStr"/>
      <c r="T83" s="9" t="inlineStr"/>
      <c r="U83" s="9" t="inlineStr">
        <is>
          <t>Open</t>
        </is>
      </c>
      <c r="V83" s="9" t="inlineStr">
        <is>
          <t>Open — awaiting fix</t>
        </is>
      </c>
      <c r="W83" s="7" t="inlineStr"/>
    </row>
    <row r="84">
      <c r="A84" s="6" t="inlineStr">
        <is>
          <t>WC-010</t>
        </is>
      </c>
      <c r="B84" s="7" t="inlineStr">
        <is>
          <t>Doubled route segment</t>
        </is>
      </c>
      <c r="C84" s="12" t="inlineStr">
        <is>
          <t>S4 Minor</t>
        </is>
      </c>
      <c r="D84" s="7" t="inlineStr">
        <is>
          <t>P4</t>
        </is>
      </c>
      <c r="E84" s="7" t="inlineStr">
        <is>
          <t>Facilitator and Counsellor</t>
        </is>
      </c>
      <c r="F84" s="7" t="inlineStr">
        <is>
          <t>no screen reaches this; see Steps</t>
        </is>
      </c>
      <c r="G84" s="7" t="inlineStr">
        <is>
          <t>Build hygiene</t>
        </is>
      </c>
      <c r="H84" s="7" t="inlineStr">
        <is>
          <t>Phase 1</t>
        </is>
      </c>
      <c r="I84" s="7" t="inlineStr">
        <is>
          <t>UAT / dev (read-only)</t>
        </is>
      </c>
      <c r="J84" s="7" t="inlineStr">
        <is>
          <t>Inspection, not a runtime reproduction.
1. Open /fc/fc/all-batches.
2. Confirm what the Actual Result column describes is present (or absent).
3. Full reasoning is in findings/findings-log.md under WC-010.</t>
        </is>
      </c>
      <c r="K84" s="7" t="inlineStr">
        <is>
          <t>Build and release hygiene: no development artefacts, warnings or broken copy in a deployed application.</t>
        </is>
      </c>
      <c r="L84" s="7" t="inlineStr">
        <is>
          <t>See the register entry for impact.</t>
        </is>
      </c>
      <c r="M84" s="7" t="inlineStr">
        <is>
          <t>FC nav links use /fc/fc/all-batches, /fc/fc/counselling, /fc/fc/tasks (double fc). Works, but smells like a base-path bug.</t>
        </is>
      </c>
      <c r="N84" s="7" t="inlineStr">
        <is>
          <t>test-results-run2/sweep-route-sweep--fc-rout-8f432--fc-all-batches-AllBatches--fc/test-failed-1.png · test-results-run1/sweep-route-sweep--fc-rout-d2783-nselling-CareerCounselling--fc-retry1/test-failed-1.png · findings/findings-log.md -&gt; WC-010</t>
        </is>
      </c>
      <c r="O84" s="7" t="inlineStr">
        <is>
          <t>the navigation links include the base path that the router already applies, producing /fc/fc/.... Make the links relative to the router base, or drop the base from the basename configuration — one or the other, not both. It works today only because the server tolerates the duplicated segment.</t>
        </is>
      </c>
      <c r="P84" s="7" t="inlineStr">
        <is>
          <t>Not recorded</t>
        </is>
      </c>
      <c r="Q84" s="7" t="inlineStr"/>
      <c r="R84" s="9" t="inlineStr">
        <is>
          <t>Open</t>
        </is>
      </c>
      <c r="S84" s="9" t="inlineStr"/>
      <c r="T84" s="9" t="inlineStr"/>
      <c r="U84" s="9" t="inlineStr">
        <is>
          <t>Open</t>
        </is>
      </c>
      <c r="V84" s="9" t="inlineStr">
        <is>
          <t>Open — awaiting fix</t>
        </is>
      </c>
      <c r="W84" s="7" t="inlineStr"/>
    </row>
    <row r="85">
      <c r="A85" s="6" t="inlineStr">
        <is>
          <t>WC-032</t>
        </is>
      </c>
      <c r="B85" s="7" t="inlineStr">
        <is>
          <t>Dead anchors (href="#") in navigation</t>
        </is>
      </c>
      <c r="C85" s="12" t="inlineStr">
        <is>
          <t>S4 Minor</t>
        </is>
      </c>
      <c r="D85" s="7" t="inlineStr">
        <is>
          <t>P4</t>
        </is>
      </c>
      <c r="E85" s="7" t="inlineStr">
        <is>
          <t>All personas / not role-specific</t>
        </is>
      </c>
      <c r="F85" s="7" t="inlineStr">
        <is>
          <t>no screen reaches this; see Steps</t>
        </is>
      </c>
      <c r="G85" s="7" t="inlineStr">
        <is>
          <t>Frontend</t>
        </is>
      </c>
      <c r="H85" s="7" t="inlineStr">
        <is>
          <t>Phase 1</t>
        </is>
      </c>
      <c r="I85" s="7" t="inlineStr">
        <is>
          <t>UAT / dev (read-only)</t>
        </is>
      </c>
      <c r="J85" s="7" t="inlineStr">
        <is>
          <t>1. Sign in as an authenticated staff account.
2. Paste navigation anchors carrying href="#" in the shared layout into the address bar and load it directly — do not navigate to it from inside the app.
3. Observe whether the screen renders. Open the browser console and note any exception.</t>
        </is>
      </c>
      <c r="K85" s="7" t="inlineStr">
        <is>
          <t>The screen renders its content when the URL is opened directly, refreshed, or reached from a bookmark.</t>
        </is>
      </c>
      <c r="L85" s="7" t="inlineStr">
        <is>
          <t>minor individually; the login-page one matters more because it is the only password recovery path a locked-out user can see.</t>
        </is>
      </c>
      <c r="M85" s="7" t="inlineStr">
        <is>
          <t>10 across the sampled routes — CH 6, FC 3, and "Forgot Password?" on the shared login page. They render as links, respond to hover, and do nothing when clicked.</t>
        </is>
      </c>
      <c r="N85" s="7" t="inlineStr">
        <is>
          <t>findings/findings-log.md -&gt; WC-032</t>
        </is>
      </c>
      <c r="O85" s="7" t="inlineStr">
        <is>
          <t>give each anchor a real destination, or use a &lt;button&gt; where the element triggers an action rather than navigation. An href="#" is announced to assistive technology as a link that goes nowhere, and it scrolls the page to the top when activated — so this is an accessibility defect as well as a cosmetic one.</t>
        </is>
      </c>
      <c r="P85" s="7" t="inlineStr">
        <is>
          <t>Verified</t>
        </is>
      </c>
      <c r="Q85" s="7" t="inlineStr"/>
      <c r="R85" s="9" t="inlineStr">
        <is>
          <t>Open</t>
        </is>
      </c>
      <c r="S85" s="9" t="inlineStr"/>
      <c r="T85" s="9" t="inlineStr"/>
      <c r="U85" s="9" t="inlineStr">
        <is>
          <t>Open</t>
        </is>
      </c>
      <c r="V85" s="9" t="inlineStr">
        <is>
          <t>Open — awaiting fix</t>
        </is>
      </c>
      <c r="W85" s="7" t="inlineStr"/>
    </row>
    <row r="86">
      <c r="A86" s="6" t="inlineStr">
        <is>
          <t>WC-041</t>
        </is>
      </c>
      <c r="B86" s="7" t="inlineStr">
        <is>
          <t>Developer test route shipped in the deployed Outreach Coordinator application</t>
        </is>
      </c>
      <c r="C86" s="12" t="inlineStr">
        <is>
          <t>S4 Minor</t>
        </is>
      </c>
      <c r="D86" s="7" t="inlineStr">
        <is>
          <t>P4</t>
        </is>
      </c>
      <c r="E86" s="7" t="inlineStr">
        <is>
          <t>Outreach Coordinator</t>
        </is>
      </c>
      <c r="F86" s="7" t="inlineStr">
        <is>
          <t>no screen reaches this; see Steps</t>
        </is>
      </c>
      <c r="G86" s="7" t="inlineStr">
        <is>
          <t>Build hygiene</t>
        </is>
      </c>
      <c r="H86" s="7" t="inlineStr">
        <is>
          <t>Phase 1</t>
        </is>
      </c>
      <c r="I86" s="7" t="inlineStr">
        <is>
          <t>UAT / dev (read-only)</t>
        </is>
      </c>
      <c r="J86" s="7" t="inlineStr">
        <is>
          <t>Inspection, not a runtime reproduction.
1. Open /oc/test-zustand, defined in the OC application's router and reachable in UAT.
2. Confirm what the Actual Result column describes is present (or absent).
3. Full reasoning is in findings/findings-log.md under WC-041.</t>
        </is>
      </c>
      <c r="K86" s="7" t="inlineStr">
        <is>
          <t>Build and release hygiene: no development artefacts, warnings or broken copy in a deployed application.</t>
        </is>
      </c>
      <c r="L86" s="7" t="inlineStr">
        <is>
          <t>low in itself — but development routes in a deployed build are unreviewed surface. They are not designed against a permission model and are rarely considered when access control is audited.</t>
        </is>
      </c>
      <c r="M86" s="7" t="inlineStr">
        <is>
          <t>present in the deployed route inventory; named for the state-management library, indicating a development scratch screen rather than a user-facing feature.</t>
        </is>
      </c>
      <c r="N86" s="7" t="inlineStr">
        <is>
          <t>findings/findings-log.md -&gt; WC-041</t>
        </is>
      </c>
      <c r="O86" s="7" t="inlineStr">
        <is>
          <t>exclude development routes from production builds, or gate them behind a build flag.</t>
        </is>
      </c>
      <c r="P86" s="7" t="inlineStr">
        <is>
          <t>Verified</t>
        </is>
      </c>
      <c r="Q86" s="7" t="inlineStr"/>
      <c r="R86" s="9" t="inlineStr">
        <is>
          <t>Open</t>
        </is>
      </c>
      <c r="S86" s="9" t="inlineStr"/>
      <c r="T86" s="9" t="inlineStr"/>
      <c r="U86" s="9" t="inlineStr">
        <is>
          <t>Open</t>
        </is>
      </c>
      <c r="V86" s="9" t="inlineStr">
        <is>
          <t>Open — awaiting fix</t>
        </is>
      </c>
      <c r="W86" s="7" t="inlineStr"/>
    </row>
    <row r="87">
      <c r="A87" s="6" t="inlineStr">
        <is>
          <t>WC-063</t>
        </is>
      </c>
      <c r="B87" s="7" t="inlineStr">
        <is>
          <t>A stale doctype folder declares the same name as its replacement</t>
        </is>
      </c>
      <c r="C87" s="12" t="inlineStr">
        <is>
          <t>S4 Minor</t>
        </is>
      </c>
      <c r="D87" s="7" t="inlineStr">
        <is>
          <t>P4</t>
        </is>
      </c>
      <c r="E87" s="7" t="inlineStr">
        <is>
          <t>All personas / not role-specific</t>
        </is>
      </c>
      <c r="F87" s="7" t="inlineStr">
        <is>
          <t>no screen reaches this; see Steps</t>
        </is>
      </c>
      <c r="G87" s="7" t="inlineStr">
        <is>
          <t>Handover / configuration</t>
        </is>
      </c>
      <c r="H87" s="7" t="inlineStr">
        <is>
          <t>Phase 2</t>
        </is>
      </c>
      <c r="I87" s="7" t="inlineStr">
        <is>
          <t>UAT / dev (read-only)</t>
        </is>
      </c>
      <c r="J87" s="7" t="inlineStr">
        <is>
          <t>Inspection, not a runtime reproduction.
1. Open weconnect-backend-outreach - outreach/outreach/doctype/google_form_settings/google_form_settings.json - outreach/outreach/doctype/google_integration_settings/google_integration_settings.json.
2. Confirm what the Actual Result column describes is present (or absent).
3. Full reasoning is in findings/findings-log.md under WC-063.</t>
        </is>
      </c>
      <c r="K87" s="7" t="inlineStr">
        <is>
          <t>Everything needed to build and run the platform is present in the repositories the foundation owns.</t>
        </is>
      </c>
      <c r="L87" s="7" t="inlineStr">
        <is>
          <t>a folder whose name does not match the doctype it declares is an orphan that still participates in migration. Today both definitions are identical so nothing breaks. The risk is a future one: an edit to the live definition can be reverted by the stale file, with no error and nothing in the diff to explain it.</t>
        </is>
      </c>
      <c r="M87" s="7" t="inlineStr">
        <is>
          <t>both files declare "name": "Google Integration Settings" with identical fields. The modification stamps — 2026-03-05 and 2026-05-26 — show the doctype was renamed and the original folder was never deleted. Only the newer name is referenced in code (outreach/api.py:176, apis/lcf_mastersheet_sync.py:236); Google Form Settings is referenced nowhere.</t>
        </is>
      </c>
      <c r="N87" s="7" t="inlineStr">
        <is>
          <t>evidence/doctype-schemas.json · suite/probes/compare-environments.mjs · findings/findings-log.md -&gt; WC-063</t>
        </is>
      </c>
      <c r="O87" s="7" t="inlineStr">
        <is>
          <t>delete the google_form_settings/ folder.</t>
        </is>
      </c>
      <c r="P87" s="7" t="inlineStr">
        <is>
          <t>Verified</t>
        </is>
      </c>
      <c r="Q87" s="7" t="inlineStr"/>
      <c r="R87" s="9" t="inlineStr">
        <is>
          <t>Open</t>
        </is>
      </c>
      <c r="S87" s="9" t="inlineStr"/>
      <c r="T87" s="9" t="inlineStr"/>
      <c r="U87" s="9" t="inlineStr">
        <is>
          <t>Open</t>
        </is>
      </c>
      <c r="V87" s="9" t="inlineStr">
        <is>
          <t>Open — awaiting fix</t>
        </is>
      </c>
      <c r="W87" s="7" t="inlineStr"/>
    </row>
    <row r="88">
      <c r="A88" s="6" t="inlineStr">
        <is>
          <t>WC-120</t>
        </is>
      </c>
      <c r="B88" s="7" t="inlineStr">
        <is>
          <t>File upload accepts any type and any size, though two controls reduce the impact</t>
        </is>
      </c>
      <c r="C88" s="12" t="inlineStr">
        <is>
          <t>S4 Minor</t>
        </is>
      </c>
      <c r="D88" s="7" t="inlineStr">
        <is>
          <t>P4</t>
        </is>
      </c>
      <c r="E88" s="7" t="inlineStr">
        <is>
          <t>All personas / not role-specific</t>
        </is>
      </c>
      <c r="F88" s="7" t="inlineStr">
        <is>
          <t>no screen reaches this; see Steps</t>
        </is>
      </c>
      <c r="G88" s="7" t="inlineStr">
        <is>
          <t>Authorisation</t>
        </is>
      </c>
      <c r="H88" s="7" t="inlineStr">
        <is>
          <t>Phase 2 (security)</t>
        </is>
      </c>
      <c r="I88" s="7" t="inlineStr">
        <is>
          <t>Source review</t>
        </is>
      </c>
      <c r="J88" s="7" t="inlineStr">
        <is>
          <t>1. Sign in as an authenticated staff account — any authenticated account is enough.
2. Call outreach/apis/registration/files.py upload_file, and the sibling facilitator_and_counsellor/api/registration_form_B/files.py with no special privileges.
3. Observe that the call is accepted rather than refused, and check whether anything changed.</t>
        </is>
      </c>
      <c r="K88" s="7" t="inlineStr">
        <is>
          <t>The endpoint checks the caller's authorisation before acting, and refuses the call when the caller is not permitted.</t>
        </is>
      </c>
      <c r="L88" s="7" t="inlineStr">
        <is>
          <t>With private storage and an authorisation check, the immediate stored-XSS and public-exposure risks are contained, which is why this is recorded at S4 rather than higher. The residual concerns are: an unbounded upload size is a resource-consumption vector, which compounds the absent rate-limiting finding; and content-type trust based on filename is a latent weakness if any future code path serves these files inline or relies on the stored type.</t>
        </is>
      </c>
      <c r="M88" s="7" t="inlineStr">
        <is>
          <t>With private storage and an authorisation check, the immediate stored-XSS and public-exposure risks are contained, which is why this is recorded at S4 rather than higher. The residual concerns are: an unbounded upload size is a resource-consumption vector, which compounds the absent rate-limiting finding; and content-type trust based on filename is a latent weakness if any future code path serves these files inline or relies on the stored type.</t>
        </is>
      </c>
      <c r="N88" s="7" t="inlineStr">
        <is>
          <t>evidence/gate-probe-results.json · evidence/bypass-endpoints.json · suite/probes/gate-probe.mjs · findings/findings-log.md -&gt; WC-120</t>
        </is>
      </c>
      <c r="O88" s="7" t="inlineStr">
        <is>
          <t>add an extension/type allowlist appropriate to the documents these forms expect (PDF and common image types), enforce a maximum size, and derive the content type from the file content rather than its name.</t>
        </is>
      </c>
      <c r="P88" s="7" t="inlineStr">
        <is>
          <t>Verified — source</t>
        </is>
      </c>
      <c r="Q88" s="7" t="inlineStr"/>
      <c r="R88" s="9" t="inlineStr">
        <is>
          <t>Open</t>
        </is>
      </c>
      <c r="S88" s="9" t="inlineStr"/>
      <c r="T88" s="9" t="inlineStr"/>
      <c r="U88" s="9" t="inlineStr">
        <is>
          <t>Open</t>
        </is>
      </c>
      <c r="V88" s="9" t="inlineStr">
        <is>
          <t>Open — awaiting fix</t>
        </is>
      </c>
      <c r="W88" s="7" t="inlineStr"/>
    </row>
  </sheetData>
  <autoFilter ref="A1:W88"/>
  <dataValidations count="1">
    <dataValidation sqref="R2:R88" showDropDown="0" showInputMessage="0" showErrorMessage="0" allowBlank="1" type="list">
      <formula1>"Open,In Progress,Fixed,Re-test,Closed,Deferred,Not a Defect"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0" customWidth="1" min="2" max="2"/>
    <col width="10" customWidth="1" min="3" max="3"/>
    <col width="9" customWidth="1" min="4" max="4"/>
    <col width="26" customWidth="1" min="5" max="5"/>
    <col width="30" customWidth="1" min="6" max="6"/>
    <col width="74" customWidth="1" min="7" max="7"/>
    <col width="46" customWidth="1" min="8" max="8"/>
    <col width="52" customWidth="1" min="9" max="9"/>
    <col width="52" customWidth="1" min="10" max="10"/>
    <col width="12" customWidth="1" min="11" max="11"/>
  </cols>
  <sheetData>
    <row r="1">
      <c r="A1" s="1" t="inlineStr">
        <is>
          <t>Backend defects — back-end team</t>
        </is>
      </c>
    </row>
    <row r="2">
      <c r="A2" s="13" t="inlineStr">
        <is>
          <t>Defects fixed in the backend applications (Python / Frappe). 66 of 87 defects. Same rows as the master Bugs tab, filtered to the backend team's work.</t>
        </is>
      </c>
    </row>
    <row r="3"/>
    <row r="4" ht="30" customHeight="1">
      <c r="A4" s="5" t="inlineStr">
        <is>
          <t>Bug ID</t>
        </is>
      </c>
      <c r="B4" s="5" t="inlineStr">
        <is>
          <t>Bug Title</t>
        </is>
      </c>
      <c r="C4" s="5" t="inlineStr">
        <is>
          <t>Severity</t>
        </is>
      </c>
      <c r="D4" s="5" t="inlineStr">
        <is>
          <t>Priority</t>
        </is>
      </c>
      <c r="E4" s="5" t="inlineStr">
        <is>
          <t>Persona / Role</t>
        </is>
      </c>
      <c r="F4" s="5" t="inlineStr">
        <is>
          <t>Screen / Location</t>
        </is>
      </c>
      <c r="G4" s="5" t="inlineStr">
        <is>
          <t>Steps to Reproduce</t>
        </is>
      </c>
      <c r="H4" s="5" t="inlineStr">
        <is>
          <t>Expected Result</t>
        </is>
      </c>
      <c r="I4" s="5" t="inlineStr">
        <is>
          <t>Actual Result</t>
        </is>
      </c>
      <c r="J4" s="5" t="inlineStr">
        <is>
          <t>Suggested Fix</t>
        </is>
      </c>
      <c r="K4" s="5" t="inlineStr">
        <is>
          <t>Status</t>
        </is>
      </c>
    </row>
    <row r="5">
      <c r="A5" s="6" t="inlineStr">
        <is>
          <t>WC-048</t>
        </is>
      </c>
      <c r="B5" s="7" t="inlineStr">
        <is>
          <t>Youth counselling records disclosed to a persona with no permission for those centres</t>
        </is>
      </c>
      <c r="C5" s="8" t="inlineStr">
        <is>
          <t>S1 Blocker</t>
        </is>
      </c>
      <c r="D5" s="7" t="inlineStr">
        <is>
          <t>P1</t>
        </is>
      </c>
      <c r="E5" s="7" t="inlineStr">
        <is>
          <t>Outreach Coordinator (reads Facilitator and Counsellor data)</t>
        </is>
      </c>
      <c r="F5" s="7" t="inlineStr">
        <is>
          <t>facilitator_and_counsellor.api.counselling.list.get_counselling_list, called with the Outreach Coordinator credential.</t>
        </is>
      </c>
      <c r="G5" s="7" t="inlineStr">
        <is>
          <t>1. Sign in as the Outreach Coordinator (kak713.oc@lighthouseconnect.org).
2. Note permitted_centres in the login response — this account is permitted for two centres.
3. With that session, call facilitator_and_counsellor.api.counselling.list.get_counselling_list.
 There is no Outreach Coordinator screen for this; use the browser console on any OC page:
 fetch('/api/method/facilitator_and_counsellor.api.counselling.list.get_counselling_list')
 .then(r=&gt;r.json()).then(d=&gt;console.table(d.message?.data ?? d.message))
4. Compare counselling_location on every returned record against the two permitted centres.
5. All ten records belong to centres this account is not permitted for.</t>
        </is>
      </c>
      <c r="H5" s="7" t="inlineStr">
        <is>
          <t>The call is refused for a centre the account has no permission over. No record is returned and no record is changed.</t>
        </is>
      </c>
      <c r="I5" s="7" t="inlineStr">
        <is>
          <t>HTTP 200. 10 of 10 records returned were wholly outside OC's permitted centres — OC is permitted for 2 centres and received none of them. The records carry: youth, youth_name, youth_stage, counselling_type, counselling_subtype, counselling_date, counselling_location, remarks, last_call_remarks, status, interested_course, batch.</t>
        </is>
      </c>
      <c r="J5" s="7" t="inlineStr">
        <is>
          <t>Single edit, then the dependency.
FILE facilitator_and_counsellor/api/counselling/list.py, line 103
NOW if 'System Manager' in frappe.get_roles(user):
 # Bypass RBAC for System Managers
 pass
 else:
 &lt;the correct centre filter, already written and already correct&gt;
CHANGE Delete the if branch and run the else body unconditionally. The filter beneath it is sound;
 it simply never executes, because every staff account holds System Manager.
DEPENDS ON WC-073 … (full detail in the findings register)</t>
        </is>
      </c>
      <c r="K5" s="9" t="inlineStr">
        <is>
          <t>Open</t>
        </is>
      </c>
    </row>
    <row r="6">
      <c r="A6" s="6" t="inlineStr">
        <is>
          <t>WC-084</t>
        </is>
      </c>
      <c r="B6" s="7" t="inlineStr">
        <is>
          <t>An account can close another centre's batch, with no permission for that centre</t>
        </is>
      </c>
      <c r="C6" s="8" t="inlineStr">
        <is>
          <t>S1 Blocker</t>
        </is>
      </c>
      <c r="D6" s="7" t="inlineStr">
        <is>
          <t>P1</t>
        </is>
      </c>
      <c r="E6" s="7" t="inlineStr">
        <is>
          <t>Skilling Partner (acts on another centre's batch)</t>
        </is>
      </c>
      <c r="F6" s="7" t="inlineStr">
        <is>
          <t>youth_skilling.api.batch_management.close_batch(batch_id, short_remarks), @frappe.whitelist(methods=["POST"]).</t>
        </is>
      </c>
      <c r="G6" s="7" t="inlineStr">
        <is>
          <t>Destructive — run on an isolated copy, not on UAT.
1. Create a Skilling Batch owned by centre A.
2. Sign in as a Skilling Partner permitted for centres B and C only.
3. Call youth_skilling.api.batch_management.close_batch with that batch's id.
4. The response reports success. Read batch_status from the database: it is now Closed.</t>
        </is>
      </c>
      <c r="H6" s="7" t="inlineStr">
        <is>
          <t>The call is refused for a centre the account has no permission over. No record is returned and no record is changed.</t>
        </is>
      </c>
      <c r="I6" s="7" t="inlineStr">
        <is>
          <t>A Skilling Batch was created owned by QA North Centre. The sp persona — permitted for QA East and West only, no permission for North — called close_batch on it and received {"success_key":1,"message":"Batch closed successfully."}. Ground truth confirms the mutation: the batch's batch_status is now Closed. A user closed a batch belonging to a centre they have no permission over.</t>
        </is>
      </c>
      <c r="J6" s="7" t="inlineStr">
        <is>
          <t>check location_lcf against the caller's permitted_centres before closing, and remove ignore_permissions=True from the save. The same fix pattern applies across the class.</t>
        </is>
      </c>
      <c r="K6" s="9" t="inlineStr">
        <is>
          <t>Open</t>
        </is>
      </c>
    </row>
    <row r="7">
      <c r="A7" s="6" t="inlineStr">
        <is>
          <t>WC-095</t>
        </is>
      </c>
      <c r="B7" s="7" t="inlineStr">
        <is>
          <t>An account can raise another centre's financial invoice, with no permission for that centre</t>
        </is>
      </c>
      <c r="C7" s="8" t="inlineStr">
        <is>
          <t>S1 Blocker</t>
        </is>
      </c>
      <c r="D7" s="7" t="inlineStr">
        <is>
          <t>P1</t>
        </is>
      </c>
      <c r="E7" s="7" t="inlineStr">
        <is>
          <t>Skilling Partner (acts on another centre's invoice)</t>
        </is>
      </c>
      <c r="F7" s="7" t="inlineStr">
        <is>
          <t>youth_skilling.api.invoice.raise_invoice(invoice_id, batch_id, center, installment, ...), @frappe.whitelist(methods=["PUT"]).</t>
        </is>
      </c>
      <c r="G7" s="7" t="inlineStr">
        <is>
          <t>Destructive — run on an isolated copy, not on UAT.
1. Create a Skilling Invoice for centre A.
2. Sign in as a Skilling Partner permitted for centres B and C only.
3. Call youth_skilling.api.invoice.raise_invoice with that invoice's id and centre A.
4. The response reports success. Read the invoice from the database: current_status is Raised and
 approval_status is Verification Pending — it has entered the financial approval pipeline.</t>
        </is>
      </c>
      <c r="H7" s="7" t="inlineStr">
        <is>
          <t>The call is refused for a centre the account has no permission over. No record is returned and no record is changed.</t>
        </is>
      </c>
      <c r="I7" s="7" t="inlineStr">
        <is>
          <t>A Skilling Invoice was created for QA North Centre. The sp persona — permitted for QA East and West only, no permission for North — called raise_invoice on it and received {"success_key":1,"message":"Skilling Invoice SK-INVOICE-00003 raised successfully."}. Ground truth confirms the mutation: the invoice's current_status is now Raised and its approval_status is Verification Pending — it has entered the financial approval pipeline, moved there by a user with no permission over its centre … (full detail in the findings register)</t>
        </is>
      </c>
      <c r="J7" s="7" t="inlineStr">
        <is>
          <t>derive center from the caller's permitted scope; do not accept it as a parameter; remove ignore_permissions=True. The single central authorization fix covers this, the batch S1 and the whole class.</t>
        </is>
      </c>
      <c r="K7" s="9" t="inlineStr">
        <is>
          <t>Open</t>
        </is>
      </c>
    </row>
    <row r="8">
      <c r="A8" s="6" t="inlineStr">
        <is>
          <t>WC-003</t>
        </is>
      </c>
      <c r="B8" s="7" t="inlineStr">
        <is>
          <t>Real program PII present in UAT</t>
        </is>
      </c>
      <c r="C8" s="10" t="inlineStr">
        <is>
          <t>S2 Critical</t>
        </is>
      </c>
      <c r="D8" s="7" t="inlineStr">
        <is>
          <t>P1</t>
        </is>
      </c>
      <c r="E8" s="7" t="inlineStr">
        <is>
          <t>All personas / not role-specific</t>
        </is>
      </c>
      <c r="F8" s="7" t="inlineStr">
        <is>
          <t>FC dashboard, Batches list</t>
        </is>
      </c>
      <c r="G8" s="7" t="inlineStr">
        <is>
          <t>1. Sign in as an authenticated staff account and note the permitted_centres in the login response.
2. Call FC dashboard, Batches list.
3. Compare the centre on every returned record against that permitted list.</t>
        </is>
      </c>
      <c r="H8" s="7" t="inlineStr">
        <is>
          <t>Only data the account is permitted to see is returned, and lower environments hold no real programme data.</t>
        </is>
      </c>
      <c r="I8" s="7" t="inlineStr">
        <is>
          <t>real batch codes, youth counts, real locations (Bhawani Peth, Pune)</t>
        </is>
      </c>
      <c r="J8" s="7" t="inlineStr">
        <is>
          <t>See register.</t>
        </is>
      </c>
      <c r="K8" s="9" t="inlineStr">
        <is>
          <t>Open</t>
        </is>
      </c>
    </row>
    <row r="9">
      <c r="A9" s="6" t="inlineStr">
        <is>
          <t>WC-023</t>
        </is>
      </c>
      <c r="B9" s="7" t="inlineStr">
        <is>
          <t>Server stack traces returned in the standard API error envelope</t>
        </is>
      </c>
      <c r="C9" s="10" t="inlineStr">
        <is>
          <t>S2 Critical</t>
        </is>
      </c>
      <c r="D9" s="7" t="inlineStr">
        <is>
          <t>P1</t>
        </is>
      </c>
      <c r="E9" s="7" t="inlineStr">
        <is>
          <t>no account required (unauthenticated)</t>
        </is>
      </c>
      <c r="F9" s="7" t="inlineStr">
        <is>
          <t>/sp/screening-schedule</t>
        </is>
      </c>
      <c r="G9" s="7" t="inlineStr">
        <is>
          <t>1. No sign-in needed.
2. Trigger any API error — for example call an endpoint without a credential, or with an unknown identifier.
3. Read the response body and look for an exc field carrying a Python traceback and server filesystem paths.
4. Fastest route: node verify/run.mjs --only WC-023</t>
        </is>
      </c>
      <c r="H9" s="7" t="inlineStr">
        <is>
          <t>A 4xx response with a message the caller can act on. No stack trace and no HTTP 500.</t>
        </is>
      </c>
      <c r="I9" s="7" t="inlineStr">
        <is>
          <t>HTTP 500 with a JSON body (1,705 chars) containing exception, exc_type, _exc_source, exc. The exc field carries a full Python traceback including server filesystem paths. exc_type is NameError.</t>
        </is>
      </c>
      <c r="J9" s="7" t="inlineStr">
        <is>
          <t>disable client-facing traceback rendering in the deployed site config, and return 403 from this endpoint for roles without screening access. Then fix the NameError.</t>
        </is>
      </c>
      <c r="K9" s="9" t="inlineStr">
        <is>
          <t>Open</t>
        </is>
      </c>
    </row>
    <row r="10">
      <c r="A10" s="6" t="inlineStr">
        <is>
          <t>WC-035</t>
        </is>
      </c>
      <c r="B10" s="7" t="inlineStr">
        <is>
          <t>Personas receive records belonging entirely to centres they are not permitted for</t>
        </is>
      </c>
      <c r="C10" s="10" t="inlineStr">
        <is>
          <t>S2 Critical</t>
        </is>
      </c>
      <c r="D10" s="7" t="inlineStr">
        <is>
          <t>P1</t>
        </is>
      </c>
      <c r="E10" s="7" t="inlineStr">
        <is>
          <t>Skilling Partner / Skilling Manager</t>
        </is>
      </c>
      <c r="F10" s="7" t="inlineStr">
        <is>
          <t>/sm/batch-management, /sm/budget, /sm/discontinued-skilling-tables, /sp/approvals, /sp/follow-ups, /sp/screening-schedul</t>
        </is>
      </c>
      <c r="G10" s="7" t="inlineStr">
        <is>
          <t>1. Sign in as Centre Head.
2. Submit youth_skilling.api.approval.approval_list with a value that is impossible rather than merely malformed — a negative age, a future date of birth, a capacity floor above its ceiling.
3. Read the record back and check whether the value was stored.</t>
        </is>
      </c>
      <c r="H10" s="7" t="inlineStr">
        <is>
          <t>The value is rejected with HTTP 400 and a message naming the field, and nothing is stored.</t>
        </is>
      </c>
      <c r="I10" s="7" t="inlineStr">
        <is>
          <t>Supersedes the retracted clean result above. Found only after the scope checker was corrected to inspect the data envelope rather than the status string in message. Test used: a record counts as an unambiguous violation only when it carries no centre the caller is permitted for. A record spanning several centres, one of which the caller owns, is excluded as arguable. Reproduced across every recorded query variant.</t>
        </is>
      </c>
      <c r="J10" s="7" t="inlineStr">
        <is>
          <t>1. For approval_list and get_waiting_for_skilling_count: remove the System Manager early-return from the scope resolvers, and fix the permission model so the role is not required (see the 45-site finding). Adding a filter would change nothing. The filter exists. 2. For get_approvals: confirm with the client whether the live account's User Permission rows matched its published permitted_centres at the time of observation, which would settle the dual-mechanism question. 3 … (full detail in the findings register)</t>
        </is>
      </c>
      <c r="K10" s="9" t="inlineStr">
        <is>
          <t>Open</t>
        </is>
      </c>
    </row>
    <row r="11">
      <c r="A11" s="6" t="inlineStr">
        <is>
          <t>WC-038</t>
        </is>
      </c>
      <c r="B11" s="7" t="inlineStr">
        <is>
          <t>Opening the invoice screen attempts to create a tax invoice, with no user action</t>
        </is>
      </c>
      <c r="C11" s="10" t="inlineStr">
        <is>
          <t>S2 Critical</t>
        </is>
      </c>
      <c r="D11" s="7" t="inlineStr">
        <is>
          <t>P1</t>
        </is>
      </c>
      <c r="E11" s="7" t="inlineStr">
        <is>
          <t>Skilling Manager, Skilling Partner</t>
        </is>
      </c>
      <c r="F11" s="7" t="inlineStr">
        <is>
          <t>/sp/invoicing/view-batch-invoice/prepare-invoice/:batchId/:installment/:centerName and the equivalent /sm/invoicing-management/... route.</t>
        </is>
      </c>
      <c r="G11" s="7" t="inlineStr">
        <is>
          <t>1. Sign in as Skilling Partner.
2. Call /sp/invoicing/view-batch-invoice/prepare-invoice/:batchId/:installment/:centerName and the equivalent /sm/invoicing-management/... route once and note the resulting record.
3. Call it again with exactly the same payload.
4. Check whether a second record or a second effect appeared.</t>
        </is>
      </c>
      <c r="H11" s="7" t="inlineStr">
        <is>
          <t>Repeating the same call does not repeat its effect.</t>
        </is>
      </c>
      <c r="I11" s="7" t="inlineStr">
        <is>
          <t>on page load, with no interaction whatsoever, the application issues POST .../youth_skilling.api.invoice.prepare_tax_invoice?batch_id=&lt;batch&gt;&amp;installment=1&amp;center=&lt;centre&gt;. Reproduced on both the Skilling Partner and Skilling Manager applications.</t>
        </is>
      </c>
      <c r="J11" s="7" t="inlineStr">
        <is>
          <t>the screen should load its data with a GET and perform invoice preparation only on explicit user confirmation.</t>
        </is>
      </c>
      <c r="K11" s="9" t="inlineStr">
        <is>
          <t>Open</t>
        </is>
      </c>
    </row>
    <row r="12">
      <c r="A12" s="6" t="inlineStr">
        <is>
          <t>WC-043</t>
        </is>
      </c>
      <c r="B12" s="7" t="inlineStr">
        <is>
          <t>Blank routes are crashing on null navigation state</t>
        </is>
      </c>
      <c r="C12" s="10" t="inlineStr">
        <is>
          <t>S2 Critical</t>
        </is>
      </c>
      <c r="D12" s="7" t="inlineStr">
        <is>
          <t>P1</t>
        </is>
      </c>
      <c r="E12" s="7" t="inlineStr">
        <is>
          <t>Facilitator and Counsellor</t>
        </is>
      </c>
      <c r="F12" s="7" t="inlineStr"/>
      <c r="G12" s="7" t="inlineStr">
        <is>
          <t>1. Sign in as Facilitator and Counsellor.
2. Paste /fc/badge-table into the address bar and load it directly, rather than navigating to it inside the app.
3. The screen renders blank. Open the browser console and read the exception, which names the property read from a null navigation state.
4. Repeat from inside the app by clicking through to the same screen; it renders.</t>
        </is>
      </c>
      <c r="H12" s="7" t="inlineStr">
        <is>
          <t>A 4xx response with a message the caller can act on. No stack trace and no HTTP 500.</t>
        </is>
      </c>
      <c r="I12" s="7" t="inlineStr">
        <is>
          <t>the full sweep captures uncaught JavaScript exceptions. Five routes throw:; Persona; Route; Exception; FC; /fc/badge-table; Cannot read properties of null (reading 'viewType'); FC; /fc/batch-management/view-batch; Cannot read properties of null (reading 'batchId'); FC; /fc/view-post-test; Cannot read properties of null (reading 'batch_id'); FC; /fc/group-based-counselling/attendance; Cannot read properties of null (reading 'length'); SYC; /group-based-counselling/attendance; Cannot read properties of null (reading 'length')</t>
        </is>
      </c>
      <c r="J12" s="7" t="inlineStr">
        <is>
          <t>read identifiers from URL parameters rather than router state, and guard the state access (location.state?.batchId). The identifier is already in the URL for the :batchId routes, so the data needed is present. It is simply not being read from there.</t>
        </is>
      </c>
      <c r="K12" s="9" t="inlineStr">
        <is>
          <t>Open</t>
        </is>
      </c>
    </row>
    <row r="13">
      <c r="A13" s="6" t="inlineStr">
        <is>
          <t>WC-068</t>
        </is>
      </c>
      <c r="B13" s="7" t="inlineStr">
        <is>
          <t>The complete API specification is published to unauthenticated callers</t>
        </is>
      </c>
      <c r="C13" s="10" t="inlineStr">
        <is>
          <t>S2 Critical</t>
        </is>
      </c>
      <c r="D13" s="7" t="inlineStr">
        <is>
          <t>P1</t>
        </is>
      </c>
      <c r="E13" s="7" t="inlineStr">
        <is>
          <t>no account required (unauthenticated)</t>
        </is>
      </c>
      <c r="F13" s="7" t="inlineStr">
        <is>
          <t>three OpenAPI endpoints, all declared @frappe.whitelist(allow_guest=True):; Endpoint; Paths documented; Size; youth_skilling.api.docs.swagger_spec; 185; 373 KB; youth_skilling.api.docs.swagger_spec_placement; 145; 288 KB; batch_management.api.docs.swagger_spec; 23; 7 KB</t>
        </is>
      </c>
      <c r="G13" s="7" t="inlineStr">
        <is>
          <t>1. Sign in as an authenticated staff account — any authenticated account is enough.
2. Call youth_skilling.api.docs.swagger_spec with no special privileges.
3. Observe that the call is accepted rather than refused, and check whether anything changed.</t>
        </is>
      </c>
      <c r="H13" s="7" t="inlineStr">
        <is>
          <t>The endpoint checks the caller's authorisation before acting, and refuses the call when the caller is not permitted.</t>
        </is>
      </c>
      <c r="I13" s="7" t="inlineStr">
        <is>
          <t>GET {BACKEND}/api/method/youth_skilling.api.docs.swagger_spec with no Authorization header returns HTTP 200 and the full specification.</t>
        </is>
      </c>
      <c r="J13" s="7" t="inlineStr">
        <is>
          <t>remove allow_guest=True from the three swagger_spec functions. The specifications remain available to authenticated staff, which is presumably the intent. This is a one-word change in three places.</t>
        </is>
      </c>
      <c r="K13" s="9" t="inlineStr">
        <is>
          <t>Open</t>
        </is>
      </c>
    </row>
    <row r="14">
      <c r="A14" s="6" t="inlineStr">
        <is>
          <t>WC-073</t>
        </is>
      </c>
      <c r="B14" s="7" t="inlineStr">
        <is>
          <t>The platform's permission design forces over-privileged accounts or bypasses permissions entirely</t>
        </is>
      </c>
      <c r="C14" s="10" t="inlineStr">
        <is>
          <t>S2 Critical</t>
        </is>
      </c>
      <c r="D14" s="7" t="inlineStr">
        <is>
          <t>P1</t>
        </is>
      </c>
      <c r="E14" s="7" t="inlineStr">
        <is>
          <t>Outreach Coordinator, Centre Head, Facilitator and Counsellor, Skilling Partner</t>
        </is>
      </c>
      <c r="F14" s="7" t="inlineStr">
        <is>
          <t>/oc/tasks, /ch/ch-tasks, /ch/individual-target, /ch/staff-monitoring, /fc/tasks, /sp/tasks</t>
        </is>
      </c>
      <c r="G14" s="7" t="inlineStr">
        <is>
          <t>1. Sign in as an authenticated staff account — any authenticated account is enough.
2. Call outreach.apis.task.task.create_task with no special privileges.
3. Observe that the call is accepted rather than refused, and check whether anything changed.</t>
        </is>
      </c>
      <c r="H14" s="7" t="inlineStr">
        <is>
          <t>The endpoint checks the caller's authorisation before acting, and refuses the call when the caller is not permitted.</t>
        </is>
      </c>
      <c r="I14" s="7" t="inlineStr">
        <is>
          <t>Fact; Value; WeConnect doctypes; 293; granting only System Manager; 178; granting no role at all; 115; granting any other role; 0; API endpoints passing ignore_permissions=True; 296 of 866.</t>
        </is>
      </c>
      <c r="J14" s="7" t="inlineStr">
        <is>
          <t>define roles per persona with appropriate doctype permissions and assign them through role profiles, so authorisation is a property of the framework rather than of whether each endpoint remembered to check.</t>
        </is>
      </c>
      <c r="K14" s="9" t="inlineStr">
        <is>
          <t>Open</t>
        </is>
      </c>
    </row>
    <row r="15">
      <c r="A15" s="6" t="inlineStr">
        <is>
          <t>WC-077</t>
        </is>
      </c>
      <c r="B15" s="7" t="inlineStr">
        <is>
          <t>An unauthenticated endpoint attempts to provision a System Manager account</t>
        </is>
      </c>
      <c r="C15" s="10" t="inlineStr">
        <is>
          <t>S2 Critical</t>
        </is>
      </c>
      <c r="D15" s="7" t="inlineStr">
        <is>
          <t>P1</t>
        </is>
      </c>
      <c r="E15" s="7" t="inlineStr">
        <is>
          <t>no account required (unauthenticated)</t>
        </is>
      </c>
      <c r="F15" s="7" t="inlineStr">
        <is>
          <t>weconnect-backend-authentication, authentication/api/registration.py, create_user(email, first_name, last_name), decorated @frappe.whitelist(methods=["POST"], allow_guest=True).</t>
        </is>
      </c>
      <c r="G15" s="7" t="inlineStr">
        <is>
          <t>1. Sign in as an authenticated staff account — any authenticated account is enough.
2. Call weconnect-backend-authentication, authentication/api/registration.py, create_user(email, first_name, last_name), decorated @frappe.whitelist(methods=["POST"], allow_guest=True) with no special privileges.
3. Observe that the call is accepted rather than refused, and check whether anything changed.</t>
        </is>
      </c>
      <c r="H15" s="7" t="inlineStr">
        <is>
          <t>The endpoint checks the caller's authorisation before acting, and refuses the call when the caller is not permitted.</t>
        </is>
      </c>
      <c r="I15" s="7" t="inlineStr">
        <is>
          <t>An unauthenticated endpoint attempts to provision a System Manager account.</t>
        </is>
      </c>
      <c r="J15" s="7" t="inlineStr">
        <is>
          <t>(1) require an authenticated caller with an appropriate role — remove allow_guest=True; (2) do not grant System Manager on self-service creation — assign the least-privilege role the account needs; (3) if open registration is intended, separate "request an account" from "grant roles" so the two are never the same call.</t>
        </is>
      </c>
      <c r="K15" s="9" t="inlineStr">
        <is>
          <t>Open</t>
        </is>
      </c>
    </row>
    <row r="16">
      <c r="A16" s="6" t="inlineStr">
        <is>
          <t>WC-078</t>
        </is>
      </c>
      <c r="B16" s="7" t="inlineStr">
        <is>
          <t>Any authenticated user can delete any file by URL (no ownership check)</t>
        </is>
      </c>
      <c r="C16" s="10" t="inlineStr">
        <is>
          <t>S2 Critical</t>
        </is>
      </c>
      <c r="D16" s="7" t="inlineStr">
        <is>
          <t>P1</t>
        </is>
      </c>
      <c r="E16" s="7" t="inlineStr">
        <is>
          <t>any authenticated account</t>
        </is>
      </c>
      <c r="F16" s="7" t="inlineStr">
        <is>
          <t>weconnect-backend-outreach, outreach/apis/registration/files.py, delete_file_by_url(), @frappe.whitelist(methods=["POST"]).</t>
        </is>
      </c>
      <c r="G16" s="7" t="inlineStr">
        <is>
          <t>1. Sign in as Skilling Partner — any authenticated account is enough.
2. Call weconnect-backend-outreach, outreach/apis/registration/files.py, delete_file_by_url(), @frappe.whitelist(methods=["POST"]) with no special privileges.
3. Observe that the call is accepted rather than refused, and check whether anything changed.</t>
        </is>
      </c>
      <c r="H16" s="7" t="inlineStr">
        <is>
          <t>The endpoint checks the caller's authorisation before acting, and refuses the call when the caller is not permitted.</t>
        </is>
      </c>
      <c r="I16" s="7" t="inlineStr">
        <is>
          <t>Registration documents on this platform include uploaded identity and eligibility paperwork for youth. Any authenticated user — any of the six personas, and per the permission-design finding possibly every staff account — can permanently delete any such file from both S3 and the database by supplying its URL, with no audit of authorisation because none occurs. Deletion is irreversible.</t>
        </is>
      </c>
      <c r="J16" s="7" t="inlineStr">
        <is>
          <t>verify the caller owns or has permission for the file's parent document before deleting; scope the lookup to files the caller may access; and log the deletion with the actor.</t>
        </is>
      </c>
      <c r="K16" s="9" t="inlineStr">
        <is>
          <t>Open</t>
        </is>
      </c>
    </row>
    <row r="17">
      <c r="A17" s="6" t="inlineStr">
        <is>
          <t>WC-079</t>
        </is>
      </c>
      <c r="B17" s="7" t="inlineStr">
        <is>
          <t>Systemic: mutating endpoints bypass permissions with no authorization check</t>
        </is>
      </c>
      <c r="C17" s="10" t="inlineStr">
        <is>
          <t>S2 Critical</t>
        </is>
      </c>
      <c r="D17" s="7" t="inlineStr">
        <is>
          <t>P1</t>
        </is>
      </c>
      <c r="E17" s="7" t="inlineStr">
        <is>
          <t>Centre Head, Skilling Partner</t>
        </is>
      </c>
      <c r="F17" s="7" t="inlineStr"/>
      <c r="G17" s="7" t="inlineStr">
        <is>
          <t>1. Sign in as Centre Head — any authenticated account is enough.
2. Call the 296 ignore_permissions=True sites across 68 files (evidence/bypass-endpoints.json) with no special privileges.
3. Observe that the call is accepted rather than refused, and check whether anything changed.</t>
        </is>
      </c>
      <c r="H17" s="7" t="inlineStr">
        <is>
          <t>The endpoint checks the caller's authorisation before acting, and refuses the call when the caller is not permitted.</t>
        </is>
      </c>
      <c r="I17" s="7" t="inlineStr">
        <is>
          <t>Of 214 mutating endpoints, 39 bypass permissions and contain no authorization check of any kind. Of those, 35 also perform a direct write — they are not merely unguarded reads mislabelled, they change data. The remaining 4 route through an approval or do not write.</t>
        </is>
      </c>
      <c r="J17" s="7" t="inlineStr">
        <is>
          <t>authorization should be enforced centrally. A decorator or a base handler that every mutating endpoint passes through — rather than reimplemented (or forgotten) per endpoint. The current design guarantees this class of defect recurs with every new endpoint. This is the same root cause named in the permission-design finding.</t>
        </is>
      </c>
      <c r="K17" s="9" t="inlineStr">
        <is>
          <t>Open</t>
        </is>
      </c>
    </row>
    <row r="18">
      <c r="A18" s="6" t="inlineStr">
        <is>
          <t>WC-085</t>
        </is>
      </c>
      <c r="B18" s="7" t="inlineStr">
        <is>
          <t>Financial endpoints share the confirmed cross-centre write gap</t>
        </is>
      </c>
      <c r="C18" s="10" t="inlineStr">
        <is>
          <t>S2 Critical</t>
        </is>
      </c>
      <c r="D18" s="7" t="inlineStr">
        <is>
          <t>P1</t>
        </is>
      </c>
      <c r="E18" s="7" t="inlineStr">
        <is>
          <t>All personas / not role-specific</t>
        </is>
      </c>
      <c r="F18" s="7" t="inlineStr">
        <is>
          <t>youth_skilling.api.invoice.raise_invoice(invoice_id, batch_id, center, installment, ...) and youth_skilling.api.invoice.prepare_tax_invoice(batch_id, installment, center).</t>
        </is>
      </c>
      <c r="G18" s="7" t="inlineStr">
        <is>
          <t>1. Sign in as an authenticated staff account and take the API credential from the login response.
2. Identify a record owned by a centre this account is not permitted for.
3. Call youth_skilling.api.invoice.raise_invoice(invoice_id, batch_id, center, installment, ...) against that record.
4. Read the response, then read the record back from the database — the response alone is not proof.</t>
        </is>
      </c>
      <c r="H18" s="7" t="inlineStr">
        <is>
          <t>The call is refused for a centre the account has no permission over. No record is returned and no record is changed.</t>
        </is>
      </c>
      <c r="I18" s="7" t="inlineStr">
        <is>
          <t>Financial endpoints share the confirmed cross-centre write gap.</t>
        </is>
      </c>
      <c r="J18" s="7" t="inlineStr">
        <is>
          <t>derive center from the caller's permitted scope rather than accepting it as a parameter, and remove ignore_permissions=True. Same pattern as the close_batch fix.</t>
        </is>
      </c>
      <c r="K18" s="9" t="inlineStr">
        <is>
          <t>Open</t>
        </is>
      </c>
    </row>
    <row r="19">
      <c r="A19" s="6" t="inlineStr">
        <is>
          <t>WC-088</t>
        </is>
      </c>
      <c r="B19" s="7" t="inlineStr">
        <is>
          <t>Enquiry Form status change is completely broken by a variable typo</t>
        </is>
      </c>
      <c r="C19" s="10" t="inlineStr">
        <is>
          <t>S2 Critical</t>
        </is>
      </c>
      <c r="D19" s="7" t="inlineStr">
        <is>
          <t>P1</t>
        </is>
      </c>
      <c r="E19" s="7" t="inlineStr">
        <is>
          <t>All personas / not role-specific</t>
        </is>
      </c>
      <c r="F19" s="7" t="inlineStr"/>
      <c r="G19" s="7" t="inlineStr">
        <is>
          <t>1. Sign in as an account permitted for the Enquiry Form screen.
2. Change the status of any Enquiry Form through the API, with a valid payload.
3. The call returns HTTP 500 UnboundLocalError. It fails on every call, not only on malformed input, because the handler reads a variable that was never assigned.
4. The same defect is present at two sites: outreach/apis/enquiry_form/form.py:38 and outreach/apis/enquiry.py:248.</t>
        </is>
      </c>
      <c r="H19" s="7" t="inlineStr">
        <is>
          <t>A 4xx response with a message the caller can act on. No stack trace and no HTTP 500.</t>
        </is>
      </c>
      <c r="I19" s="7" t="inlineStr">
        <is>
          <t>A valid Enquiry Form was created and its status change attempted through the API; the endpoint returned HTTP 500 UnboundLocalError. Confirmed against source.</t>
        </is>
      </c>
      <c r="J19" s="7" t="inlineStr">
        <is>
          <t>ids = json.loads(ids). A one-word correction, and a test that calls the endpoint would have caught it — which is the point of this phase.</t>
        </is>
      </c>
      <c r="K19" s="9" t="inlineStr">
        <is>
          <t>Open</t>
        </is>
      </c>
    </row>
    <row r="20">
      <c r="A20" s="6" t="inlineStr">
        <is>
          <t>WC-105</t>
        </is>
      </c>
      <c r="B20" s="7" t="inlineStr">
        <is>
          <t>Systemic: data scoping is disabled for System Manager in application code, at 45 sites, while the platform forces that role onto every staff account</t>
        </is>
      </c>
      <c r="C20" s="10" t="inlineStr">
        <is>
          <t>S2 Critical</t>
        </is>
      </c>
      <c r="D20" s="7" t="inlineStr">
        <is>
          <t>P1</t>
        </is>
      </c>
      <c r="E20" s="7" t="inlineStr">
        <is>
          <t>All personas / not role-specific</t>
        </is>
      </c>
      <c r="F20" s="7" t="inlineStr"/>
      <c r="G20" s="7" t="inlineStr">
        <is>
          <t>1. Sign in as an authenticated staff account and take the API credential from the login response.
2. Identify a record owned by a centre this account is not permitted for.
3. Call the 45 scoping sites across 26 files (evidence/authz-audit.json) against that record.
4. Read the response, then read the record back from the database — the response alone is not proof.</t>
        </is>
      </c>
      <c r="H20" s="7" t="inlineStr">
        <is>
          <t>The call is refused for a centre the account has no permission over. No record is returned and no record is changed.</t>
        </is>
      </c>
      <c r="I20" s="7" t="inlineStr">
        <is>
          <t>The Outreach Coordinator credential reports permitted_centres = ["Kukatpally", "Bhawani Peth"], yet GET /api/resource/Role Profile and GET /api/resource/User both return 200 — reads only a System Manager obtains. That elevation is what produced the counselling S1: 10 of 10 youth counselling records returned from centres the account has no permission for.</t>
        </is>
      </c>
      <c r="J20" s="7" t="inlineStr">
        <is>
          <t>1. Remove the role check from data-scoping paths. Scoping should not be conditional on a role. Where a genuine administrative override is needed, make it explicit, narrow and audited — not a blanket pass on youth records. 2. Remove the need for the role, by giving each persona role real doctype permissions. Until that lands, fixing (1) alone will lock staff out, so the two must ship together. 3. Add a test asserting that a non-administrative account cannot read a record outside its permitted centres, for each list endpoint.</t>
        </is>
      </c>
      <c r="K20" s="9" t="inlineStr">
        <is>
          <t>Open</t>
        </is>
      </c>
    </row>
    <row r="21">
      <c r="A21" s="6" t="inlineStr">
        <is>
          <t>WC-115</t>
        </is>
      </c>
      <c r="B21" s="7" t="inlineStr">
        <is>
          <t>Any authenticated account, including an external partner, can trigger a bulk export of programme data to an external Google Sheet</t>
        </is>
      </c>
      <c r="C21" s="10" t="inlineStr">
        <is>
          <t>S2 Critical</t>
        </is>
      </c>
      <c r="D21" s="7" t="inlineStr">
        <is>
          <t>P1</t>
        </is>
      </c>
      <c r="E21" s="7" t="inlineStr">
        <is>
          <t>any authenticated account, including an external partner</t>
        </is>
      </c>
      <c r="F21" s="7" t="inlineStr">
        <is>
          <t>outreach.apis.lcf_mastersheet_sync.sync_to_lcf_mastersheet, @frappe.whitelist(methods=["POST"]).</t>
        </is>
      </c>
      <c r="G21" s="7" t="inlineStr">
        <is>
          <t>1. Sign in as Facilitator and Counsellor — any authenticated account is enough.
2. Call outreach.apis.lcf_mastersheet_sync.sync_to_lcf_mastersheet with no special privileges.
3. Observe that the call is accepted rather than refused, and check whether anything changed.</t>
        </is>
      </c>
      <c r="H21" s="7" t="inlineStr">
        <is>
          <t>The endpoint checks the caller's authorisation before acting, and refuses the call when the caller is not permitted.</t>
        </is>
      </c>
      <c r="I21" s="7" t="inlineStr">
        <is>
          <t>Called on the isolated instance as sp — the Skilling Partner persona, which represents an external training provider and is the lowest-trust account in the system — the endpoint returned HTTP 200 and reached its own logic, failing only with "LCF Google Sheet ID is not set in Google Integration Settings." That failure is downstream of where a permission check belongs. The same result for fc. No caller was refused.</t>
        </is>
      </c>
      <c r="J21" s="7" t="inlineStr">
        <is>
          <t>require an explicit role for this endpoint — it is an administrative reporting function, not a per-persona one — and log every invocation with the calling account. It is a strong candidate for the central authorisation change recommended for the mutating endpoints, since it is exactly the class of sensitive operation that change is meant to cover.</t>
        </is>
      </c>
      <c r="K21" s="9" t="inlineStr">
        <is>
          <t>Open</t>
        </is>
      </c>
    </row>
    <row r="22">
      <c r="A22" s="6" t="inlineStr">
        <is>
          <t>WC-131</t>
        </is>
      </c>
      <c r="B22" s="7" t="inlineStr">
        <is>
          <t>The password-reset OTP is a four-digit number with a short expiry, drawn with a non-cryptographic generator</t>
        </is>
      </c>
      <c r="C22" s="10" t="inlineStr">
        <is>
          <t>S2 Critical</t>
        </is>
      </c>
      <c r="D22" s="7" t="inlineStr">
        <is>
          <t>P1</t>
        </is>
      </c>
      <c r="E22" s="7" t="inlineStr">
        <is>
          <t>any account (reset is by email, unauthenticated)</t>
        </is>
      </c>
      <c r="F22" s="7" t="inlineStr"/>
      <c r="G22" s="7" t="inlineStr">
        <is>
          <t>1. Open authentication/api/password.py, function generate_otp().
2. Confirm it returns random.randint(1111, 9999) — four digits, non-cryptographic generator.
3. In verify_otp (same file), confirm there is no attempt counter or lockout on mismatch.
4. In password_reset_otp.py, confirm the expiry is three minutes.</t>
        </is>
      </c>
      <c r="H22" s="7" t="inlineStr">
        <is>
          <t>A reset code is drawn with a cryptographic generator, is long enough to resist guessing, and verification is attempt-limited.</t>
        </is>
      </c>
      <c r="I22" s="7" t="inlineStr">
        <is>
          <t>generate_otp() returns random.randint(1111, 9999). verify_otp has no attempt limit. Expiry is 3 minutes. reset_password is allow_guest=True.</t>
        </is>
      </c>
      <c r="J22" s="7" t="inlineStr">
        <is>
          <t>Generate the code with the secrets module (e.g. a six-digit secrets.randbelow(900000)+100000), store an attempt counter on the Password Reset OTP record, and invalidate after a few failed verifications — the discipline the login path (WC-117) already applies. Keep the three-minute expiry.</t>
        </is>
      </c>
      <c r="K22" s="9" t="inlineStr">
        <is>
          <t>Open</t>
        </is>
      </c>
    </row>
    <row r="23">
      <c r="A23" s="6" t="inlineStr">
        <is>
          <t>WC-002</t>
        </is>
      </c>
      <c r="B23" s="7" t="inlineStr">
        <is>
          <t>Target Data API returns 404</t>
        </is>
      </c>
      <c r="C23" s="10" t="inlineStr">
        <is>
          <t>S2 Critical</t>
        </is>
      </c>
      <c r="D23" s="7" t="inlineStr">
        <is>
          <t>P2</t>
        </is>
      </c>
      <c r="E23" s="7" t="inlineStr">
        <is>
          <t>Centre Head, Facilitator and Counsellor</t>
        </is>
      </c>
      <c r="F23" s="7" t="inlineStr">
        <is>
          <t>/ch/, /fc/, /fc/all-batches</t>
        </is>
      </c>
      <c r="G23" s="7" t="inlineStr">
        <is>
          <t>1. Sign in as an authenticated staff account and open centre_head.api.target.main_dashboard.main_target (the Target Data widget's API) with the browser network tab open.
2. Find the failing request in the network log.
3. Note its URL and status code.</t>
        </is>
      </c>
      <c r="H23" s="7" t="inlineStr">
        <is>
          <t>The endpoint the screen calls exists on the deployed build and returns its data.</t>
        </is>
      </c>
      <c r="I23" s="7" t="inlineStr">
        <is>
          <t>404; widget shows "Data not available.".</t>
        </is>
      </c>
      <c r="J23" s="7" t="inlineStr">
        <is>
          <t>the widget calls an endpoint that is not present on the deployed build. Either restore centre_head.api.target.main_dashboard.main_target or remove the card that calls it. Either way the frontend should render an explicit empty state rather than the literal string shown today; the broken wording is tracked separately as S4.</t>
        </is>
      </c>
      <c r="K23" s="9" t="inlineStr">
        <is>
          <t>Open</t>
        </is>
      </c>
    </row>
    <row r="24">
      <c r="A24" s="6" t="inlineStr">
        <is>
          <t>WC-011</t>
        </is>
      </c>
      <c r="B24" s="7" t="inlineStr">
        <is>
          <t>Client-side auth guard is hardcoded to true (disabled)</t>
        </is>
      </c>
      <c r="C24" s="10" t="inlineStr">
        <is>
          <t>S2 Critical</t>
        </is>
      </c>
      <c r="D24" s="7" t="inlineStr">
        <is>
          <t>P2</t>
        </is>
      </c>
      <c r="E24" s="7" t="inlineStr">
        <is>
          <t>Facilitator and Counsellor, any persona (login)</t>
        </is>
      </c>
      <c r="F24" s="7" t="inlineStr">
        <is>
          <t>weconnect-frontend-fc, src/components/layout/authenticate-route.jsx</t>
        </is>
      </c>
      <c r="G24" s="7" t="inlineStr">
        <is>
          <t>1. Sign in as Facilitator and Counsellor — any authenticated account is enough.
2. Call /fc/all-batches with no special privileges.
3. Observe that the call is accepted rather than refused, and check whether anything changed.</t>
        </is>
      </c>
      <c r="H24" s="7" t="inlineStr">
        <is>
          <t>The endpoint checks the caller's authorisation before acting, and refuses the call when the caller is not permitted.</t>
        </is>
      </c>
      <c r="I24" s="7" t="inlineStr">
        <is>
          <t>const isAuthenticated = true; — the route guard never reads auth state. The redirect-to-login branch is dead code. URLs.Login isn't even defined in routes.js (would ReferenceError if that branch ever ran).</t>
        </is>
      </c>
      <c r="J24" s="7" t="inlineStr">
        <is>
          <t>See register.</t>
        </is>
      </c>
      <c r="K24" s="9" t="inlineStr">
        <is>
          <t>Open</t>
        </is>
      </c>
    </row>
    <row r="25">
      <c r="A25" s="6" t="inlineStr">
        <is>
          <t>WC-018</t>
        </is>
      </c>
      <c r="B25" s="7" t="inlineStr">
        <is>
          <t>SYC /curriculum data API returns 500</t>
        </is>
      </c>
      <c r="C25" s="10" t="inlineStr">
        <is>
          <t>S2 Critical</t>
        </is>
      </c>
      <c r="D25" s="7" t="inlineStr">
        <is>
          <t>P2</t>
        </is>
      </c>
      <c r="E25" s="7" t="inlineStr">
        <is>
          <t>Skilling Manager, Skilling Partner, Skilling Youth Coordinator</t>
        </is>
      </c>
      <c r="F25" s="7" t="inlineStr">
        <is>
          <t>/sm/assessments, /sm/assignments, /sm/curriculum, /sp/assignment, /sp/curriculum, /syc/asses</t>
        </is>
      </c>
      <c r="G25" s="7" t="inlineStr">
        <is>
          <t>1. Sign in as Skilling Youth Coordinator.
2. Open the curriculum screen, or call youth_skilling.api.curriculum.curriculum_list directly with valid arguments.
3. Read the HTTP status. The call fails on a correctly formed request, not only on a malformed one.</t>
        </is>
      </c>
      <c r="H25" s="7" t="inlineStr">
        <is>
          <t>A 4xx response with a message the caller can act on. No stack trace and no HTTP 500.</t>
        </is>
      </c>
      <c r="I25" s="7" t="inlineStr">
        <is>
          <t>page shell renders (~140 chars) but a backend data call returns HTTP 500.</t>
        </is>
      </c>
      <c r="J25" s="7" t="inlineStr">
        <is>
          <t>Verified on the isolated instance (2026-09-20): youth_skilling.api.curriculum.curriculum_list returns HTTP 500 with TypeError: curriculum_list() missing 1 required positional argument: 'skilling_batch_id', and the response carries a traceback. This is therefore an instance of the missing-argument crash pattern rather than a separate defect: give the parameter a default, validate presence explicitly and return 400 naming the missing field. Note the sibling batch_management.api.curriculum.list answers 417 to the same shape of call. The two disagree on how a bad request should be rejected.</t>
        </is>
      </c>
      <c r="K25" s="9" t="inlineStr">
        <is>
          <t>Open</t>
        </is>
      </c>
    </row>
    <row r="26">
      <c r="A26" s="6" t="inlineStr">
        <is>
          <t>WC-020</t>
        </is>
      </c>
      <c r="B26" s="7" t="inlineStr">
        <is>
          <t>Backend returns 500s under modest concurrency</t>
        </is>
      </c>
      <c r="C26" s="10" t="inlineStr">
        <is>
          <t>S2 Critical</t>
        </is>
      </c>
      <c r="D26" s="7" t="inlineStr">
        <is>
          <t>P2</t>
        </is>
      </c>
      <c r="E26" s="7" t="inlineStr">
        <is>
          <t>Facilitator and Counsellor, Skilling Partner, Skilling Youth Coordinator</t>
        </is>
      </c>
      <c r="F26" s="7" t="inlineStr"/>
      <c r="G26" s="7" t="inlineStr">
        <is>
          <t>1. Drive /fc/family-counselling with several sessions at once, increasing concurrency step by step.
2. Record the HTTP status and response time at each level.
3. Note the point at which results stop being consistent.</t>
        </is>
      </c>
      <c r="H26" s="7" t="inlineStr">
        <is>
          <t>The endpoint responds within the expected load without degrading, and large result sets are paginated.</t>
        </is>
      </c>
      <c r="I26" s="7" t="inlineStr">
        <is>
          <t>at 6 parallel workers many data endpoints returned 500; at ≤3 workers / serialized they return 200. Backend stability/scaling concern. Recommend a dedicated load test.</t>
        </is>
      </c>
      <c r="J26" s="7" t="inlineStr">
        <is>
          <t>size the worker pool for the expected concurrency, and return 503 with a retry hint when saturated rather than 500 with a traceback. A 500 tells a client its request was wrong; a 503 tells it to retry, which is the truthful answer under load.</t>
        </is>
      </c>
      <c r="K26" s="9" t="inlineStr">
        <is>
          <t>Open</t>
        </is>
      </c>
    </row>
    <row r="27">
      <c r="A27" s="6" t="inlineStr">
        <is>
          <t>WC-047</t>
        </is>
      </c>
      <c r="B27" s="7" t="inlineStr">
        <is>
          <t>Backend concurrency sensitivity, quantified</t>
        </is>
      </c>
      <c r="C27" s="10" t="inlineStr">
        <is>
          <t>S2 Critical</t>
        </is>
      </c>
      <c r="D27" s="7" t="inlineStr">
        <is>
          <t>P2</t>
        </is>
      </c>
      <c r="E27" s="7" t="inlineStr">
        <is>
          <t>All personas / not role-specific</t>
        </is>
      </c>
      <c r="F27" s="7" t="inlineStr"/>
      <c r="G27" s="7" t="inlineStr">
        <is>
          <t>1. Drive the backend, driven at 3 then 5 concurrent sessions with several sessions at once, increasing concurrency step by step.
2. Record the HTTP status and response time at each level.
3. Note the point at which results stop being consistent.</t>
        </is>
      </c>
      <c r="H27" s="7" t="inlineStr">
        <is>
          <t>The endpoint responds within the expected load without degrading, and large result sets are paginated.</t>
        </is>
      </c>
      <c r="I27" s="7" t="inlineStr">
        <is>
          <t>Method: the identical 235-route sweep executed twice, differing only in the number of simultaneous sessions. Same routes, same assertions, same build, minutes apart. - Note on the two instability figures in this register: this table reports a controlled comparison of two single executions (3.4% at three sessions, 6.8% at five). The 3.0% quoted elsewhere is the rate across three consecutive executions at three sessions, which is the more reliable figure and the one used in the client documents. Both describe the platform; they differ in sample size.</t>
        </is>
      </c>
      <c r="J27" s="7" t="inlineStr">
        <is>
          <t>as for the finding above. Capacity is a deployment parameter rather than a code defect, but the failure *mode* is a defect: saturation should surface as 503, not 500 with a traceback. Size the pool against the measured dose-response and re-measure after any change to worker count.</t>
        </is>
      </c>
      <c r="K27" s="9" t="inlineStr">
        <is>
          <t>Open</t>
        </is>
      </c>
    </row>
    <row r="28">
      <c r="A28" s="6" t="inlineStr">
        <is>
          <t>WC-058</t>
        </is>
      </c>
      <c r="B28" s="7" t="inlineStr">
        <is>
          <t>An installed application is absent from the repositories handed over</t>
        </is>
      </c>
      <c r="C28" s="10" t="inlineStr">
        <is>
          <t>S2 Critical</t>
        </is>
      </c>
      <c r="D28" s="7" t="inlineStr">
        <is>
          <t>P2</t>
        </is>
      </c>
      <c r="E28" s="7" t="inlineStr">
        <is>
          <t>All personas / not role-specific</t>
        </is>
      </c>
      <c r="F28" s="7" t="inlineStr"/>
      <c r="G28" s="7" t="inlineStr">
        <is>
          <t>Inspection, not a runtime reproduction.
1. Open frappe.utils.change_log.get_versions.
2. Confirm what the Actual Result column describes is present (or absent).
3. Full reasoning is in findings/findings-log.md under WC-058.</t>
        </is>
      </c>
      <c r="H28" s="7" t="inlineStr">
        <is>
          <t>Everything needed to build and run the platform is present in the repositories the foundation owns.</t>
        </is>
      </c>
      <c r="I28" s="7" t="inlineStr">
        <is>
          <t>frappe.utils.change_log.get_versions, which enumerates the applications installed on the site, reports twelve:; Source; Applications; Obtainable; Framework; frappe 15.113.2 · erpnext 15.114.0 · insights 3.12.5; Yes — open source; WeConnect; the eight supplied backends; Yes; Vendor; fintoo_analytics_bridge; No fintoo_analytics_bridge exists in no repository in the foundation's GitHub organisation. The organisation holds eighteen repositories; none corresponds to it. It appears to belong to the development vendor.</t>
        </is>
      </c>
      <c r="J28" s="7" t="inlineStr">
        <is>
          <t>(1) establish who owns fintoo_analytics_bridge and obtain either the source or a written escrow undertaking. The platform cannot be rebuilt or fully audited without it; (2) declare required_apps in each app's hooks.py so the deployable set is recorded in code; (3) remove the orphaned Module Def records for apps that are not installed (hrms, mannlowe_support, materialized_view_builder), so the installed-application list stops disagreeing with itself.</t>
        </is>
      </c>
      <c r="K28" s="9" t="inlineStr">
        <is>
          <t>Open</t>
        </is>
      </c>
    </row>
    <row r="29">
      <c r="A29" s="6" t="inlineStr">
        <is>
          <t>WC-069</t>
        </is>
      </c>
      <c r="B29" s="7" t="inlineStr">
        <is>
          <t>The permission model exists in no repository</t>
        </is>
      </c>
      <c r="C29" s="10" t="inlineStr">
        <is>
          <t>S2 Critical</t>
        </is>
      </c>
      <c r="D29" s="7" t="inlineStr">
        <is>
          <t>P2</t>
        </is>
      </c>
      <c r="E29" s="7" t="inlineStr">
        <is>
          <t>All personas / not role-specific</t>
        </is>
      </c>
      <c r="F29" s="7" t="inlineStr"/>
      <c r="G29" s="7" t="inlineStr">
        <is>
          <t>Inspection, not a runtime reproduction.
1. Open the Role Profile and DocPerm records — absent from all eighteen repositories.
2. Confirm what the Actual Result column describes is present (or absent).
3. Full reasoning is in findings/findings-log.md under WC-069.</t>
        </is>
      </c>
      <c r="H29" s="7" t="inlineStr">
        <is>
          <t>Everything needed to build and run the platform is present in the repositories the foundation owns.</t>
        </is>
      </c>
      <c r="I29" s="7" t="inlineStr">
        <is>
          <t>of 297 doctype definitions across the eight applications, 182 carry permission rules and every one of them grants a single role: System Manager. The remaining 115 carry no permission rules at all. Not one doctype grants any WeConnect role. - No application defines a Role or Role Profile record. The declared fixtures export only Custom Field and Property Setter. - Yet the code refers to these roles 227 times — "Skilling Partner" alone appears 174 times.</t>
        </is>
      </c>
      <c r="J29" s="7" t="inlineStr">
        <is>
          <t>export the roles, role profiles and permission rules as app fixtures so they are versioned with the code that depends on them.</t>
        </is>
      </c>
      <c r="K29" s="9" t="inlineStr">
        <is>
          <t>Open</t>
        </is>
      </c>
    </row>
    <row r="30">
      <c r="A30" s="6" t="inlineStr">
        <is>
          <t>WC-087</t>
        </is>
      </c>
      <c r="B30" s="7" t="inlineStr">
        <is>
          <t>Runtime configuration required to operate the platform is not in the repositories</t>
        </is>
      </c>
      <c r="C30" s="10" t="inlineStr">
        <is>
          <t>S2 Critical</t>
        </is>
      </c>
      <c r="D30" s="7" t="inlineStr">
        <is>
          <t>P2</t>
        </is>
      </c>
      <c r="E30" s="7" t="inlineStr">
        <is>
          <t>All personas / not role-specific</t>
        </is>
      </c>
      <c r="F30" s="7" t="inlineStr"/>
      <c r="G30" s="7" t="inlineStr">
        <is>
          <t>Inspection, not a runtime reproduction.
1. Open sites/common_site_config.json and the per-site site_config.json.
2. Confirm what the Actual Result column describes is present (or absent).
3. Full reasoning is in findings/findings-log.md under WC-087.</t>
        </is>
      </c>
      <c r="H30" s="7" t="inlineStr">
        <is>
          <t>Everything needed to build and run the platform is present in the repositories the foundation owns.</t>
        </is>
      </c>
      <c r="I30" s="7" t="inlineStr">
        <is>
          <t>A pattern, now seen three times. Standing up the platform from its repositories produces a system that cannot perform its core flows until configuration that lives only in the production database is recreated by hand. Concretely, on a clean install: - Demonstrated, not asserted. create_pre_enquiry — a core Outreach Coordinator flow — returned HTTP 400 "Naming Series mandatory" on a clean install, because create_youth does not set a series and none is configured by default. Setting the series made the flow succeed. The stage and status failures were identical.</t>
        </is>
      </c>
      <c r="J30" s="7" t="inlineStr">
        <is>
          <t>ship this configuration as fixtures (Frappe's mechanism for exactly this) or as an install/after_migrate patch, so a fresh install is a working install. Some patches exist (placement status master data). The pattern should be extended to the naming series, stages, statuses, roles and role profiles the core flows require.</t>
        </is>
      </c>
      <c r="K30" s="9" t="inlineStr">
        <is>
          <t>Open</t>
        </is>
      </c>
    </row>
    <row r="31">
      <c r="A31" s="6" t="inlineStr">
        <is>
          <t>WC-091</t>
        </is>
      </c>
      <c r="B31" s="7" t="inlineStr">
        <is>
          <t>Application code gates on roles that do not exist on a fresh install</t>
        </is>
      </c>
      <c r="C31" s="10" t="inlineStr">
        <is>
          <t>S2 Critical</t>
        </is>
      </c>
      <c r="D31" s="7" t="inlineStr">
        <is>
          <t>P2</t>
        </is>
      </c>
      <c r="E31" s="7" t="inlineStr">
        <is>
          <t>All personas / not role-specific</t>
        </is>
      </c>
      <c r="F31" s="7" t="inlineStr"/>
      <c r="G31" s="7" t="inlineStr">
        <is>
          <t>Inspection, not a runtime reproduction.
1. Open frappe.db.exists("Role", "Skilling Partner").
2. Confirm what the Actual Result column describes is present (or absent).
3. Full reasoning is in findings/findings-log.md under WC-091.</t>
        </is>
      </c>
      <c r="H31" s="7" t="inlineStr">
        <is>
          <t>Everything needed to build and run the platform is present in the repositories the foundation owns.</t>
        </is>
      </c>
      <c r="I31" s="7" t="inlineStr">
        <is>
          <t>across the skilling application alone, endpoint logic branches on membership in named roles — "Skilling Partner" in user_roles (7×), "Skilling Manager" in user_roles (5×), "Center Head" in roles, "System Manager" and others. But on an instance built from the repositories, the persona roles do not exist: frappe.db.exists("Role", "Skilling Partner") is false, and no Role, Role Profile or role assignment for any persona is shipped in any app.</t>
        </is>
      </c>
      <c r="J31" s="7" t="inlineStr">
        <is>
          <t>ship the roles (and role profiles, and the permission rules that reference them) as fixtures, so a fresh install has the access-control model the code assumes.</t>
        </is>
      </c>
      <c r="K31" s="9" t="inlineStr">
        <is>
          <t>Open</t>
        </is>
      </c>
    </row>
    <row r="32">
      <c r="A32" s="6" t="inlineStr">
        <is>
          <t>WC-092</t>
        </is>
      </c>
      <c r="B32" s="7" t="inlineStr">
        <is>
          <t>Several endpoints return 403 via the HTTP API for ALL callers, including Administrator, though the function works when invoked directly</t>
        </is>
      </c>
      <c r="C32" s="10" t="inlineStr">
        <is>
          <t>S2 Critical</t>
        </is>
      </c>
      <c r="D32" s="7" t="inlineStr">
        <is>
          <t>P2</t>
        </is>
      </c>
      <c r="E32" s="7" t="inlineStr">
        <is>
          <t>Outreach Coordinator, Facilitator and Counsellor, Skilling Youth Coordinator</t>
        </is>
      </c>
      <c r="F32" s="7" t="inlineStr">
        <is>
          <t>/fc/, /f</t>
        </is>
      </c>
      <c r="G32" s="7" t="inlineStr">
        <is>
          <t>1. Sign in as Administrator, the highest-privilege account available.
2. Call the affected endpoint over HTTP with valid arguments.
3. The call returns 403 even for Administrator, while the same function succeeds when invoked directly on the server.</t>
        </is>
      </c>
      <c r="H32" s="7" t="inlineStr">
        <is>
          <t>A 4xx response with a message the caller can act on. No stack trace and no HTTP 500.</t>
        </is>
      </c>
      <c r="I32" s="7" t="inlineStr">
        <is>
          <t>facilitator_and_counsellor.api.counselling.actions.mark_as_dropoff The discrepancy. Called through the HTTP API as the owning persona, both return 403 PermissionError (a raw traceback, not the endpoint's own graceful "insufficient permission" message). But every operation the endpoint performs — has_permission("write"), the field update, doc.save() — succeeds when run directly as the same user with frappe.set_user.</t>
        </is>
      </c>
      <c r="J32" s="7" t="inlineStr">
        <is>
          <t>root-cause the rejection in the request-handling layer. Ruled out during investigation: payload format, HTTP verb, roles, centre scope and hooks — and the functions run correctly when invoked directly through bench, so the defect is not in the handler body. Until it is located, update_issue and mark_as_dropoff are unreachable over HTTP for every caller, which makes them both untestable and unusable by the frontends.</t>
        </is>
      </c>
      <c r="K32" s="9" t="inlineStr">
        <is>
          <t>Open</t>
        </is>
      </c>
    </row>
    <row r="33">
      <c r="A33" s="6" t="inlineStr">
        <is>
          <t>WC-103</t>
        </is>
      </c>
      <c r="B33" s="7" t="inlineStr">
        <is>
          <t>Attendance cannot be recorded on an install built from the repositories: the code writes Youth Status values that ship nowhere</t>
        </is>
      </c>
      <c r="C33" s="10" t="inlineStr">
        <is>
          <t>S2 Critical</t>
        </is>
      </c>
      <c r="D33" s="7" t="inlineStr">
        <is>
          <t>P2</t>
        </is>
      </c>
      <c r="E33" s="7" t="inlineStr">
        <is>
          <t>All personas / not role-specific</t>
        </is>
      </c>
      <c r="F33" s="7" t="inlineStr">
        <is>
          <t>youth_skilling/.../doctype/skilling_batch_attendance/skilling_batch_attendance.py:190, and the same pair of values in skilling_batch.py:292 and api/batch_management.py:5418.</t>
        </is>
      </c>
      <c r="G33" s="7" t="inlineStr">
        <is>
          <t>Inspection, not a runtime reproduction.
1. Open youth_skilling/.../doctype/skilling_batch_attendance/skilling_batch_attendance.py:190, and the same pair of values in skilling_batch.py:292 and api/batch_management.py:5418.
2. Confirm what the Actual Result column describes is present (or absent).
3. Full reasoning is in findings/findings-log.md under WC-103.</t>
        </is>
      </c>
      <c r="H33" s="7" t="inlineStr">
        <is>
          <t>Everything needed to build and run the platform is present in the repositories the foundation owns.</t>
        </is>
      </c>
      <c r="I33" s="7" t="inlineStr">
        <is>
          <t>creating any Skilling Batch Attendance fails with Could not find Status: Skilling Not Enrolled. (The message uses the field's *label*, "Status", not the doctype name Youth Status — which makes it actively misleading when diagnosing.) Creating the two missing Youth Status records by hand makes attendance work immediately: mark_attendance then succeeded and ground truth confirms the row (Skilling Attendance Table: 2026-08-05 / Present).</t>
        </is>
      </c>
      <c r="J33" s="7" t="inlineStr">
        <is>
          <t>ship the Youth Status master as app fixtures, including every value the code writes. A test that asserts each status literal in the codebase exists in the master would have caught this.</t>
        </is>
      </c>
      <c r="K33" s="9" t="inlineStr">
        <is>
          <t>Open</t>
        </is>
      </c>
    </row>
    <row r="34">
      <c r="A34" s="6" t="inlineStr">
        <is>
          <t>WC-106</t>
        </is>
      </c>
      <c r="B34" s="7" t="inlineStr">
        <is>
          <t>The environment -&gt; API mapping is shifted by one in every repository, and no configuration targets a production API</t>
        </is>
      </c>
      <c r="C34" s="10" t="inlineStr">
        <is>
          <t>S2 Critical</t>
        </is>
      </c>
      <c r="D34" s="7" t="inlineStr">
        <is>
          <t>P2</t>
        </is>
      </c>
      <c r="E34" s="7" t="inlineStr">
        <is>
          <t>Centre Head, Facilitator and Counsellor, Skilling Manager, Skilling Partner, Skilling Yout</t>
        </is>
      </c>
      <c r="F34" s="7" t="inlineStr"/>
      <c r="G34" s="7" t="inlineStr">
        <is>
          <t>1. Sign in as Centre Head and note the permitted_centres in the login response.
2. Call .env.uat and .env.prod in all nine frontend repositories.
3. Compare the centre on every returned record against that permitted list.</t>
        </is>
      </c>
      <c r="H34" s="7" t="inlineStr">
        <is>
          <t>Only data the account is permitted to see is returned, and lower environments hold no real programme data.</t>
        </is>
      </c>
      <c r="I34" s="7" t="inlineStr">
        <is>
          <t>This supersedes and sharpens the earlier "UAT frontend calls the DEV backend API" finding, which recorded one symptom. The defect is uniform and it is committed. - Evidence. Every frontend repository plus the shared component library (9 of 9):</t>
        </is>
      </c>
      <c r="J34" s="7" t="inlineStr">
        <is>
          <t>1. Correct the mapping so each environment's config names its own API, and add the missing production configuration. 2. Stop committing .env* files; supply them at build time. (Recorded separately as hygiene — contents are now inspected and contain no credentials, only URLs, so that finding stays S3.) 3. Retire or rename lcfuat.ash.frappe.cloud so one name denotes one environment. 4. Confirm which frontends are deployed from which config today.</t>
        </is>
      </c>
      <c r="K34" s="9" t="inlineStr">
        <is>
          <t>Open</t>
        </is>
      </c>
    </row>
    <row r="35">
      <c r="A35" s="6" t="inlineStr">
        <is>
          <t>WC-110</t>
        </is>
      </c>
      <c r="B35" s="7" t="inlineStr">
        <is>
          <t>A ninth persona is routed to an application that does not exist, and a tenth role was never inventoried</t>
        </is>
      </c>
      <c r="C35" s="10" t="inlineStr">
        <is>
          <t>S2 Critical</t>
        </is>
      </c>
      <c r="D35" s="7" t="inlineStr">
        <is>
          <t>P2</t>
        </is>
      </c>
      <c r="E35" s="7" t="inlineStr">
        <is>
          <t>Outreach Coordinator, Centre Head, Facilitator and Counsellor, Skilling Manager, Skilling</t>
        </is>
      </c>
      <c r="F35" s="7" t="inlineStr">
        <is>
          <t>weconnect-frontend-auth, src/routes.js — the post-login routing table that decides which application an account is sent to, keyed by role_profile.</t>
        </is>
      </c>
      <c r="G35" s="7" t="inlineStr">
        <is>
          <t>1. Sign in as Outreach Coordinator and open /oc/ with the browser network tab open.
2. Find the failing request in the network log.
3. Note its URL and status code.</t>
        </is>
      </c>
      <c r="H35" s="7" t="inlineStr">
        <is>
          <t>The endpoint the screen calls exists on the deployed build and returns its data.</t>
        </is>
      </c>
      <c r="I35" s="7" t="inlineStr">
        <is>
          <t>If any such account exists in production, that user cannot use the platform at all — login succeeds and then sends them nowhere. If no such account exists, the backend carries a fully-wired persona with no way to reach it, and the routing table advertises a destination that was never built. Either way the persona inventory the platform implements and the one it ships do not agree. - Trainer is a second gap, of a different kind … (full detail in the findings register)</t>
        </is>
      </c>
      <c r="J35" s="7" t="inlineStr">
        <is>
          <t>1. Decide whether Placement Youth Coordinator is a live persona. If it is, the /pyc/ application is missing and must be built; if it is not, remove it from the routing table, the helper mappings and the approval patches so the code stops advertising it. 2. Make the routing table fail loudly. An unmapped or unbuilt destination should show an error, not redirect a user into a void. 3. Confirm whether any production account holds the Placement Youth Coordinator or Trainer role profile; both change the tested surface … (full detail in the findings register)</t>
        </is>
      </c>
      <c r="K35" s="9" t="inlineStr">
        <is>
          <t>Open</t>
        </is>
      </c>
    </row>
    <row r="36">
      <c r="A36" s="6" t="inlineStr">
        <is>
          <t>WC-111</t>
        </is>
      </c>
      <c r="B36" s="7" t="inlineStr">
        <is>
          <t>Approval flows reference at least 15 Approval Categories by literal name, and none of them ship</t>
        </is>
      </c>
      <c r="C36" s="10" t="inlineStr">
        <is>
          <t>S2 Critical</t>
        </is>
      </c>
      <c r="D36" s="7" t="inlineStr">
        <is>
          <t>P2</t>
        </is>
      </c>
      <c r="E36" s="7" t="inlineStr">
        <is>
          <t>All personas / not role-specific</t>
        </is>
      </c>
      <c r="F36" s="7" t="inlineStr"/>
      <c r="G36" s="7" t="inlineStr">
        <is>
          <t>Inspection, not a runtime reproduction.
1. Open the fifteen Approval Category names the approval flows reference as literals.
2. Confirm what the Actual Result column describes is present (or absent).
3. Full reasoning is in findings/findings-log.md under WC-111.</t>
        </is>
      </c>
      <c r="H36" s="7" t="inlineStr">
        <is>
          <t>Everything needed to build and run the platform is present in the repositories the foundation owns.</t>
        </is>
      </c>
      <c r="I36" s="7" t="inlineStr">
        <is>
          <t>Found by rebuilding the environment from nothing and driving the suite against it. It is the same class as the Youth Status defect, and the two together show the pattern is not a one-off. - The mechanism. Approval.validate_approval_category() (centre_head/.../doctype/approval/approval.py:103-111) rejects any approval whose category does not exist with a matching ref_doc:</t>
        </is>
      </c>
      <c r="J36" s="7" t="inlineStr">
        <is>
          <t>ship the Approval Category records as app fixtures, one per literal the code references, each with the correct ref_doc. Then replace the string literals with module-level constants so a typo is a failure at import rather than a runtime throw, and reconcile the Another/another pair. A test that asserts every literal resolves to an existing category would keep the two in step. --- # Security coverage gap review against OWASP API Security Top 10 (2026-09-22)</t>
        </is>
      </c>
      <c r="K36" s="9" t="inlineStr">
        <is>
          <t>Open</t>
        </is>
      </c>
    </row>
    <row r="37">
      <c r="A37" s="6" t="inlineStr">
        <is>
          <t>WC-118</t>
        </is>
      </c>
      <c r="B37" s="7" t="inlineStr">
        <is>
          <t>No rate limiting on authenticated API requests, on a backend that fails at five concurrent sessions</t>
        </is>
      </c>
      <c r="C37" s="10" t="inlineStr">
        <is>
          <t>S2 Critical</t>
        </is>
      </c>
      <c r="D37" s="7" t="inlineStr">
        <is>
          <t>P2</t>
        </is>
      </c>
      <c r="E37" s="7" t="inlineStr">
        <is>
          <t>Skilling Manager, Skilling Partner, Skilling Youth Coordinator, Placement Manager</t>
        </is>
      </c>
      <c r="F37" s="7" t="inlineStr">
        <is>
          <t>/sm/, /sm/add-course, /sm/add-skilling-partner, /sp/approvals, /sp/assessment, /sp/assignment, /syc/assign-skilling-reco</t>
        </is>
      </c>
      <c r="G37" s="7" t="inlineStr">
        <is>
          <t>1. No sign-in needed for the header checks.
2. Issue the request described in the Actual Result column against the deployed host.
3. Inspect the response headers (or the cookie attributes) rather than the body.
4. Fastest route: node verify/run.mjs --only WC-118</t>
        </is>
      </c>
      <c r="H37" s="7" t="inlineStr">
        <is>
          <t>The protective setting is in place and the unsafe request is refused.</t>
        </is>
      </c>
      <c r="I37" s="7" t="inlineStr">
        <is>
          <t>Forty consecutive authenticated requests to youth_skilling.api.utils.get_training_center_list returned HTTP 200 every time. No 429, no Retry-After, no throttling of any kind.</t>
        </is>
      </c>
      <c r="J37" s="7" t="inlineStr">
        <is>
          <t>apply per-account and per-IP rate limits at the API gateway or in Frappe's own rate-limiting configuration, sized against the concurrency the backend can actually sustain rather than against a theoretical ceiling. Paginate get_youth_list. The concurrency defect should be addressed as well, but rate limiting is the control that bounds the damage while it is outstanding.</t>
        </is>
      </c>
      <c r="K37" s="9" t="inlineStr">
        <is>
          <t>Open</t>
        </is>
      </c>
    </row>
    <row r="38">
      <c r="A38" s="6" t="inlineStr">
        <is>
          <t>WC-122</t>
        </is>
      </c>
      <c r="B38" s="7" t="inlineStr">
        <is>
          <t>add_interest writes any field the caller sends, and saves with permissions switched off</t>
        </is>
      </c>
      <c r="C38" s="10" t="inlineStr">
        <is>
          <t>S2 Critical</t>
        </is>
      </c>
      <c r="D38" s="7" t="inlineStr">
        <is>
          <t>P2</t>
        </is>
      </c>
      <c r="E38" s="7" t="inlineStr">
        <is>
          <t>Facilitator and Counsellor</t>
        </is>
      </c>
      <c r="F38" s="7" t="inlineStr">
        <is>
          <t>batch_management/batch_management/api/fc/youth_interest.py:198 add_interest.</t>
        </is>
      </c>
      <c r="G38" s="7" t="inlineStr">
        <is>
          <t>1. Sign in as Facilitator and Counsellor.
2. Call batch_management/batch_management/api/fc/youth_interest.py:198 add_interest with the fields it documents PLUS one it never mentions.
3. Read the record back from the database and check whether the undeclared field was written.</t>
        </is>
      </c>
      <c r="H38" s="7" t="inlineStr">
        <is>
          <t>Only the fields the endpoint declares are written. Any other field in the payload is rejected.</t>
        </is>
      </c>
      <c r="I38" s="7" t="inlineStr">
        <is>
          <t>REQD_FIELDS = ("interested_course", "interested_job_role", ...) for i in REQD_FIELDS: if i not in data: ...return # checks these fields are PRESENT ... youth = frappe.get_doc("Youth", youth) youth.update(data) # writes EVERY key the caller sent youth.save(ignore_permissions=True) # no framework permission check REQD_FIELDS is a presence check. Nothing rejects keys that are not in it, so youth.update(data) applies the caller's whole dictionary to the Youth record.</t>
        </is>
      </c>
      <c r="J38" s="7" t="inlineStr">
        <is>
          <t>Reject unknown keys before the write, the way youth_skilling/api/skilling_issue.py update_issue already does in this same codebase: for field in data: if field not in EDITABLE_FIELDS: ...reject Then remove ignore_permissions=True so the framework check applies, or state in the code why it has to be bypassed.</t>
        </is>
      </c>
      <c r="K38" s="9" t="inlineStr">
        <is>
          <t>Open</t>
        </is>
      </c>
    </row>
    <row r="39">
      <c r="A39" s="6" t="inlineStr">
        <is>
          <t>WC-125</t>
        </is>
      </c>
      <c r="B39" s="7" t="inlineStr">
        <is>
          <t>Fields accept values that contradict themselves: negative ages, future birth dates, capacity floors above ceilings, negative costs</t>
        </is>
      </c>
      <c r="C39" s="10" t="inlineStr">
        <is>
          <t>S2 Critical</t>
        </is>
      </c>
      <c r="D39" s="7" t="inlineStr">
        <is>
          <t>P2</t>
        </is>
      </c>
      <c r="E39" s="7" t="inlineStr">
        <is>
          <t>All personas / not role-specific</t>
        </is>
      </c>
      <c r="F39" s="7" t="inlineStr"/>
      <c r="G39" s="7" t="inlineStr">
        <is>
          <t>1. Sign in as an authenticated staff account.
2. Submit Enquiry Form age and dob, Skilling Batch minimum/maximum_capacity, Skilling Invoice money fields with a value that is impossible rather than merely malformed — a negative age, a future date of birth, a capacity floor above its ceiling.
3. Read the record back and check whether the value was stored.</t>
        </is>
      </c>
      <c r="H39" s="7" t="inlineStr">
        <is>
          <t>The value is rejected with HTTP 400 and a message naming the field, and nothing is stored.</t>
        </is>
      </c>
      <c r="I39" s="7" t="inlineStr">
        <is>
          <t>Found by adding boundary-value analysis, which the engagement had not previously covered. The earlier validation probe tested wrong *classes* of input — a string where a number belongs, a missing field. It never tested values of the right type that are impossible in context. Why this can be reported before the characterisation baseline is signed. These are not cases where correct behaviour is a matter of opinion. A negative age, a birth date in the future, a minimum capacity above the maximum, and a negative course cost are wrong on their own terms. No baseline is needed to say so.</t>
        </is>
      </c>
      <c r="J39" s="7" t="inlineStr">
        <is>
          <t>Put the constraint on the doctype, not in each endpoint, so every write path inherits it: a validate method rejecting negative or absurd ages, birth dates outside a plausible range, capacity inversions, and negative or out-of-range money and percentage values. Frappe supports this directly, and non_negative is available on numeric fields for the simplest of them.</t>
        </is>
      </c>
      <c r="K39" s="9" t="inlineStr">
        <is>
          <t>Open</t>
        </is>
      </c>
    </row>
    <row r="40">
      <c r="A40" s="6" t="inlineStr">
        <is>
          <t>WC-126</t>
        </is>
      </c>
      <c r="B40" s="7" t="inlineStr">
        <is>
          <t>No state-transition control exists: every status can move to every other status, including financial reversals</t>
        </is>
      </c>
      <c r="C40" s="10" t="inlineStr">
        <is>
          <t>S2 Critical</t>
        </is>
      </c>
      <c r="D40" s="7" t="inlineStr">
        <is>
          <t>P2</t>
        </is>
      </c>
      <c r="E40" s="7" t="inlineStr">
        <is>
          <t>All personas / not role-specific</t>
        </is>
      </c>
      <c r="F40" s="7" t="inlineStr"/>
      <c r="G40" s="7" t="inlineStr">
        <is>
          <t>1. Pick a record with a status field (for example a Skilling Invoice).
2. Set its status to one value and save.
3. Set it to a value the workflow should not allow from there (for example Paid back to Not Raised Yet) and save.
4. Read the status back.</t>
        </is>
      </c>
      <c r="H40" s="7" t="inlineStr">
        <is>
          <t>A transition the workflow does not allow is refused, and the record keeps its previous status.</t>
        </is>
      </c>
      <c r="I40" s="7" t="inlineStr">
        <is>
          <t>Found by adding systematic state-transition testing, which the engagement had not previously covered. The earlier lifecycle and state-boundary probes tested individual journeys; neither enumerated the full transition matrix. Why this can be reported before the characterisation baseline is signed. We are not asserting which transitions the foundation intends to allow. We are reporting that the platform permits all of them, which means no intended model is being enforced anywhere. That is a structural fact about the system, not a judgement about correct behaviour.</t>
        </is>
      </c>
      <c r="J40" s="7" t="inlineStr">
        <is>
          <t>Define the permitted transitions once, on the doctype, so every write path inherits them. Frappe ships a Workflow facility for exactly this, and it also provides the transition history and approval steps that the invoice states in particular need. Where a full workflow is too heavy, a validate method comparing the new status against the previous value is enough to refuse the impossible moves.</t>
        </is>
      </c>
      <c r="K40" s="9" t="inlineStr">
        <is>
          <t>Open</t>
        </is>
      </c>
    </row>
    <row r="41">
      <c r="A41" s="6" t="inlineStr">
        <is>
          <t>WC-128</t>
        </is>
      </c>
      <c r="B41" s="7" t="inlineStr">
        <is>
          <t>The password-reset request, including the new plaintext password and the OTP, is written to the browser console in five applications</t>
        </is>
      </c>
      <c r="C41" s="10" t="inlineStr">
        <is>
          <t>S2 Critical</t>
        </is>
      </c>
      <c r="D41" s="7" t="inlineStr">
        <is>
          <t>P2</t>
        </is>
      </c>
      <c r="E41" s="7" t="inlineStr">
        <is>
          <t>any persona that can reset a password</t>
        </is>
      </c>
      <c r="F41" s="7" t="inlineStr">
        <is>
          <t>the Reset Password screen in each of the five apps</t>
        </is>
      </c>
      <c r="G41" s="7" t="inlineStr">
        <is>
          <t>1. Open any of the five apps (auth, frontend, ch, pm, sm) and start a password reset.
2. Open the browser console (F12) before submitting the new password.
3. Submit the reset. The console prints an object labelled "payload for reset password" containing email, otp, passwd and cnf_passwd in clear text.</t>
        </is>
      </c>
      <c r="H41" s="7" t="inlineStr">
        <is>
          <t>No credential, password or OTP is ever written to the browser console.</t>
        </is>
      </c>
      <c r="I41" s="7" t="inlineStr">
        <is>
          <t>src/api/forget-password/forget-password-api.js logs the full reset payload via console.log in five repositories: weconnect-frontend-auth, weconnect-frontend, -ch, -pm, -sm.</t>
        </is>
      </c>
      <c r="J41" s="7" t="inlineStr">
        <is>
          <t>Delete the console.log line in all five files (single-line removal, no behavioural effect). Then add a production console strip — Vite esbuild.drop: ["console"] or an eslint no-console rule — because there are 837 console calls across the frontends and this will otherwise recur.</t>
        </is>
      </c>
      <c r="K41" s="9" t="inlineStr">
        <is>
          <t>Open</t>
        </is>
      </c>
    </row>
    <row r="42">
      <c r="A42" s="6" t="inlineStr">
        <is>
          <t>WC-065</t>
        </is>
      </c>
      <c r="B42" s="7" t="inlineStr">
        <is>
          <t>A selector endpoint returns the entire youth population, unpaginated</t>
        </is>
      </c>
      <c r="C42" s="11" t="inlineStr">
        <is>
          <t>S3 Major</t>
        </is>
      </c>
      <c r="D42" s="7" t="inlineStr">
        <is>
          <t>P2</t>
        </is>
      </c>
      <c r="E42" s="7" t="inlineStr">
        <is>
          <t>Outreach Coordinator, Facilitator and Counsellor, Skilling Youth Coordinator, Placement Ma</t>
        </is>
      </c>
      <c r="F42" s="7" t="inlineStr">
        <is>
          <t>/oc/batch-management, /oc/batch-management/mark-attendance, /oc/enrollment/registration/registration-form</t>
        </is>
      </c>
      <c r="G42" s="7" t="inlineStr">
        <is>
          <t>1. Drive facilitator_and_counsellor.api.counselling.helper.get_youth_list with several sessions at once, increasing concurrency step by step.
2. Record the HTTP status and response time at each level.
3. Note the point at which results stop being consistent.</t>
        </is>
      </c>
      <c r="H42" s="7" t="inlineStr">
        <is>
          <t>The endpoint responds within the expected load without degrading, and large result sets are paginated.</t>
        </is>
      </c>
      <c r="I42" s="7" t="inlineStr">
        <is>
          <t>3,825 records in a single response — 204 KB, 1.82 s. The response carries a count field but no total_pages or total_data_count, and accepts no page parameter.</t>
        </is>
      </c>
      <c r="J42" s="7" t="inlineStr">
        <is>
          <t>paginate it as the sibling endpoints already do, or make it a server-side search that returns matches for a typed prefix rather than the full population.</t>
        </is>
      </c>
      <c r="K42" s="9" t="inlineStr">
        <is>
          <t>Open</t>
        </is>
      </c>
    </row>
    <row r="43">
      <c r="A43" s="6" t="inlineStr">
        <is>
          <t>WC-080</t>
        </is>
      </c>
      <c r="B43" s="7" t="inlineStr">
        <is>
          <t>move_youth creates a batch-transfer approval for any youth with no caller check</t>
        </is>
      </c>
      <c r="C43" s="11" t="inlineStr">
        <is>
          <t>S3 Major</t>
        </is>
      </c>
      <c r="D43" s="7" t="inlineStr">
        <is>
          <t>P2</t>
        </is>
      </c>
      <c r="E43" s="7" t="inlineStr">
        <is>
          <t>All personas / not role-specific</t>
        </is>
      </c>
      <c r="F43" s="7" t="inlineStr">
        <is>
          <t>batch_management/api/pathway_batch/actions.py, move_youth(youth, batch, remarks), @frappe.whitelist(methods=["PUT"]).</t>
        </is>
      </c>
      <c r="G43" s="7" t="inlineStr">
        <is>
          <t>1. Sign in as an authenticated staff account — any authenticated account is enough.
2. Call frappe.session.user with no special privileges.
3. Observe that the call is accepted rather than refused, and check whether anything changed.</t>
        </is>
      </c>
      <c r="H43" s="7" t="inlineStr">
        <is>
          <t>The endpoint checks the caller's authorisation before acting, and refuses the call when the caller is not permitted.</t>
        </is>
      </c>
      <c r="I43" s="7" t="inlineStr">
        <is>
          <t>move_youth creates a batch-transfer approval for any youth with no caller check.</t>
        </is>
      </c>
      <c r="J43" s="7" t="inlineStr">
        <is>
          <t>check the caller's permitted_centres against the youth's centre before creating the approval.</t>
        </is>
      </c>
      <c r="K43" s="9" t="inlineStr">
        <is>
          <t>Open</t>
        </is>
      </c>
    </row>
    <row r="44">
      <c r="A44" s="6" t="inlineStr">
        <is>
          <t>WC-097</t>
        </is>
      </c>
      <c r="B44" s="7" t="inlineStr">
        <is>
          <t>Batch deletion performs no dependent-record check</t>
        </is>
      </c>
      <c r="C44" s="11" t="inlineStr">
        <is>
          <t>S3 Major</t>
        </is>
      </c>
      <c r="D44" s="7" t="inlineStr">
        <is>
          <t>P2</t>
        </is>
      </c>
      <c r="E44" s="7" t="inlineStr">
        <is>
          <t>All personas / not role-specific</t>
        </is>
      </c>
      <c r="F44" s="7" t="inlineStr">
        <is>
          <t>batch_management/api/pathway_batch/form.py, mark_as_deleted(ids, remarks).</t>
        </is>
      </c>
      <c r="G44" s="7" t="inlineStr">
        <is>
          <t>1. Create a parent record with at least one dependent record attached.
2. Call batch_management/api/pathway_batch/form.py, mark_as_deleted(ids, remarks) to remove the parent.
3. Check what happened to the dependents.</t>
        </is>
      </c>
      <c r="H44" s="7" t="inlineStr">
        <is>
          <t>A record with dependents cannot be removed without an explicit, acknowledged cascade.</t>
        </is>
      </c>
      <c r="I44" s="7" t="inlineStr">
        <is>
          <t>A batch that youth are actively enrolled in can be marked deleted; their links to it become references to a hidden record. Because it is a soft delete the data is not destroyed, which caps the severity — but the operation offers no guard against removing a batch that is in use, and any list that filters on is_deleted will silently drop those youths' batch context.</t>
        </is>
      </c>
      <c r="J44" s="7" t="inlineStr">
        <is>
          <t>refuse deletion (or require explicit confirmation) when dependent records exist, and check the caller's centre scope as with the other write endpoints.</t>
        </is>
      </c>
      <c r="K44" s="9" t="inlineStr">
        <is>
          <t>Open</t>
        </is>
      </c>
    </row>
    <row r="45">
      <c r="A45" s="6" t="inlineStr">
        <is>
          <t>WC-099</t>
        </is>
      </c>
      <c r="B45" s="7" t="inlineStr">
        <is>
          <t>Financial and state-change endpoints are not idempotent</t>
        </is>
      </c>
      <c r="C45" s="11" t="inlineStr">
        <is>
          <t>S3 Major</t>
        </is>
      </c>
      <c r="D45" s="7" t="inlineStr">
        <is>
          <t>P2</t>
        </is>
      </c>
      <c r="E45" s="7" t="inlineStr">
        <is>
          <t>All personas / not role-specific</t>
        </is>
      </c>
      <c r="F45" s="7" t="inlineStr"/>
      <c r="G45" s="7" t="inlineStr">
        <is>
          <t>1. Sign in as an authenticated staff account.
2. Call youth_skilling.api.invoice.raise_invoice and youth_skilling.api.batch_management.close_batch in a way that must fail (an invalid identifier, a missing field).
3. Compare the HTTP status against the body's own success flag.</t>
        </is>
      </c>
      <c r="H45" s="7" t="inlineStr">
        <is>
          <t>The HTTP status matches the outcome: a failure returns 4xx/5xx, never 200, and the response shape is consistent.</t>
        </is>
      </c>
      <c r="I45" s="7" t="inlineStr">
        <is>
          <t>Tested by calling each endpoint twice with an identical payload: - What this means. None of these endpoints guards against a repeat. A network retry, a double-click, or a client that re-sends after a timeout will re-run the operation and get a success response each time. The API returns HTTP 200 on the second call, so the caller cannot distinguish a retry from a fresh action.</t>
        </is>
      </c>
      <c r="J45" s="7" t="inlineStr">
        <is>
          <t>guard state transitions on the current state (refuse to raise an already-raised invoice), and accept an idempotency key on creates so a retried request returns the original record rather than a duplicate.</t>
        </is>
      </c>
      <c r="K45" s="9" t="inlineStr">
        <is>
          <t>Open</t>
        </is>
      </c>
    </row>
    <row r="46">
      <c r="A46" s="6" t="inlineStr">
        <is>
          <t>WC-109</t>
        </is>
      </c>
      <c r="B46" s="7" t="inlineStr">
        <is>
          <t>dashboard.get_invoice_count applies no scoping at all and returns a global financial aggregate</t>
        </is>
      </c>
      <c r="C46" s="11" t="inlineStr">
        <is>
          <t>S3 Major</t>
        </is>
      </c>
      <c r="D46" s="7" t="inlineStr">
        <is>
          <t>P2</t>
        </is>
      </c>
      <c r="E46" s="7" t="inlineStr">
        <is>
          <t>Skilling Partner</t>
        </is>
      </c>
      <c r="F46" s="7" t="inlineStr">
        <is>
          <t>youth_skilling.api.dashboard.get_invoice_count.</t>
        </is>
      </c>
      <c r="G46" s="7" t="inlineStr">
        <is>
          <t>1. Sign in as Outreach Coordinator and note the permitted_centres in the login response.
2. Call youth_skilling.api.dashboard.get_invoice_count.
3. Compare the centre on every returned record against that permitted list.</t>
        </is>
      </c>
      <c r="H46" s="7" t="inlineStr">
        <is>
          <t>Only data the account is permitted to see is returned, and lower environments hold no real programme data.</t>
        </is>
      </c>
      <c r="I46" s="7" t="inlineStr">
        <is>
          <t>the handler calls frappe.db.count("Skilling Invoice", {"current_status": ...}) with no centre predicate. frappe.db.count does not apply permissions, so no scoping occurs by any route. This one genuinely has no filter, unlike its siblings on the same dashboard.</t>
        </is>
      </c>
      <c r="J46" s="7" t="inlineStr">
        <is>
          <t>filter by the caller's permitted centres, as the sibling cards attempt to, and prefer frappe.get_list/get_all with an explicit centre predicate over frappe.db.count.</t>
        </is>
      </c>
      <c r="K46" s="9" t="inlineStr">
        <is>
          <t>Open</t>
        </is>
      </c>
    </row>
    <row r="47">
      <c r="A47" s="6" t="inlineStr">
        <is>
          <t>WC-116</t>
        </is>
      </c>
      <c r="B47" s="7" t="inlineStr">
        <is>
          <t>Session lifetime is seven days, which compounds the token-storage exposure</t>
        </is>
      </c>
      <c r="C47" s="11" t="inlineStr">
        <is>
          <t>S3 Major</t>
        </is>
      </c>
      <c r="D47" s="7" t="inlineStr">
        <is>
          <t>P2</t>
        </is>
      </c>
      <c r="E47" s="7" t="inlineStr">
        <is>
          <t>All personas / not role-specific</t>
        </is>
      </c>
      <c r="F47" s="7" t="inlineStr"/>
      <c r="G47" s="7" t="inlineStr">
        <is>
          <t>1. No sign-in needed for the header checks.
2. Issue the request described in the Actual Result column against the deployed host.
3. Inspect the response headers (or the cookie attributes) rather than the body.
4. Fastest route: node verify/run.mjs --only WC-116</t>
        </is>
      </c>
      <c r="H47" s="7" t="inlineStr">
        <is>
          <t>The protective setting is in place and the unsafe request is refused.</t>
        </is>
      </c>
      <c r="I47" s="7" t="inlineStr">
        <is>
          <t>System Settings reports session_expiry = 170:00, which is 170 hours, a little over seven days. force_user_to_reset_password = 0 and minimum_password_score = 2 on Frappe's 0–4 scale, which zxcvbn describes as "somewhat guessable".</t>
        </is>
      </c>
      <c r="J47" s="7" t="inlineStr">
        <is>
          <t>shorten the session lifetime to something proportionate to a working day, move the credential to the httpOnly cookie the API already issues, and raise the minimum password score. None of these requires application changes; they are settings.</t>
        </is>
      </c>
      <c r="K47" s="9" t="inlineStr">
        <is>
          <t>Open</t>
        </is>
      </c>
    </row>
    <row r="48">
      <c r="A48" s="6" t="inlineStr">
        <is>
          <t>WC-121</t>
        </is>
      </c>
      <c r="B48" s="7" t="inlineStr">
        <is>
          <t>CORS is configured to reflect any origin with credentials allowed</t>
        </is>
      </c>
      <c r="C48" s="11" t="inlineStr">
        <is>
          <t>S3 Major</t>
        </is>
      </c>
      <c r="D48" s="7" t="inlineStr">
        <is>
          <t>P2</t>
        </is>
      </c>
      <c r="E48" s="7" t="inlineStr">
        <is>
          <t>no account required (unauthenticated)</t>
        </is>
      </c>
      <c r="F48" s="7" t="inlineStr">
        <is>
          <t>allow_cors in the backend site configuration, consumed by frappe/app.py set_cors_headers.</t>
        </is>
      </c>
      <c r="G48" s="7" t="inlineStr">
        <is>
          <t>1. No sign-in needed for the header checks.
2. Issue the request described in the Actual Result column against the deployed host.
3. Inspect the response headers (or the cookie attributes) rather than the body.
4. Fastest route: node verify/run.mjs --only WC-121</t>
        </is>
      </c>
      <c r="H48" s="7" t="inlineStr">
        <is>
          <t>The protective setting is in place and the unsafe request is refused.</t>
        </is>
      </c>
      <c r="I48" s="7" t="inlineStr">
        <is>
          <t>A preflight to api-dev.lighthouseconnect.org carrying Origin: https://evil.example.com — a domain with no relationship to the foundation — came back HTTP/2 200 with access-control-allow-origin: https://evil.example.com and access-control-allow-credentials: true. An unrelated origin is echoed back verbatim and told that credentialed requests are acceptable. This is the signature of allow_cors being set to "*": Frappe does not emit a literal *, it reflects whatever origin asked.</t>
        </is>
      </c>
      <c r="J48" s="7" t="inlineStr">
        <is>
          <t>Replace "*" with the explicit list of frontend origins that need access. allow_cors accepts a list, and set_cors_headers already compares the incoming origin against it, so this is a configuration edit with no code change: set it to the UAT and production frontend origins and nothing else. Re-run the probe above afterwards and confirm an unrelated origin gets no access-control-allow-origin header back.</t>
        </is>
      </c>
      <c r="K48" s="9" t="inlineStr">
        <is>
          <t>Open</t>
        </is>
      </c>
    </row>
    <row r="49">
      <c r="A49" s="6" t="inlineStr">
        <is>
          <t>WC-123</t>
        </is>
      </c>
      <c r="B49" s="7" t="inlineStr">
        <is>
          <t>update_profile applies caller data to a User record, and its permission check is dead code</t>
        </is>
      </c>
      <c r="C49" s="11" t="inlineStr">
        <is>
          <t>S3 Major</t>
        </is>
      </c>
      <c r="D49" s="7" t="inlineStr">
        <is>
          <t>P2</t>
        </is>
      </c>
      <c r="E49" s="7" t="inlineStr">
        <is>
          <t>any authenticated account</t>
        </is>
      </c>
      <c r="F49" s="7" t="inlineStr">
        <is>
          <t>outreach/outreach/apis/profile/form.py:74 update_profile.</t>
        </is>
      </c>
      <c r="G49" s="7" t="inlineStr">
        <is>
          <t>1. Sign in as an authenticated staff account.
2. Call outreach/outreach/apis/profile/form.py:74 update_profile with the fields it documents PLUS one it never mentions.
3. Read the record back from the database and check whether the undeclared field was written.</t>
        </is>
      </c>
      <c r="H49" s="7" t="inlineStr">
        <is>
          <t>Only the fields the endpoint declares are written. Any other field in the payload is rejected.</t>
        </is>
      </c>
      <c r="I49" s="7" t="inlineStr">
        <is>
          <t>update_profile applies caller data to a User record, and its permission check is dead code.</t>
        </is>
      </c>
      <c r="J49" s="7" t="inlineStr">
        <is>
          <t>Add return after the 403. Restrict data to the profile fields this screen is meant to edit. Check the permission before applying the data rather than after.</t>
        </is>
      </c>
      <c r="K49" s="9" t="inlineStr">
        <is>
          <t>Open</t>
        </is>
      </c>
    </row>
    <row r="50">
      <c r="A50" s="6" t="inlineStr">
        <is>
          <t>WC-014</t>
        </is>
      </c>
      <c r="B50" s="7" t="inlineStr">
        <is>
          <t>OC (Outreach Coordinator) account returns empty role_profile</t>
        </is>
      </c>
      <c r="C50" s="11" t="inlineStr">
        <is>
          <t>S3 Major</t>
        </is>
      </c>
      <c r="D50" s="7" t="inlineStr">
        <is>
          <t>P3</t>
        </is>
      </c>
      <c r="E50" s="7" t="inlineStr">
        <is>
          <t>Placement Manager, shared login application</t>
        </is>
      </c>
      <c r="F50" s="7" t="inlineStr">
        <is>
          <t>/pm/waiting-for-mapping, /, /auth/google/callback, /authentication/forget-password</t>
        </is>
      </c>
      <c r="G50" s="7" t="inlineStr">
        <is>
          <t>1. Sign in as an authenticated staff account.
2. Call authentication.api.auth.login in a way that must fail (an invalid identifier, a missing field).
3. Compare the HTTP status against the body's own success flag.</t>
        </is>
      </c>
      <c r="H50" s="7" t="inlineStr">
        <is>
          <t>The HTTP status matches the outcome: a failure returns 4xx/5xx, never 200, and the response shape is consistent.</t>
        </is>
      </c>
      <c r="I50" s="7" t="inlineStr">
        <is>
          <t>authentication.api.auth.login returns HTTP 200 but role_profile: "" for the OC account, while all other personas return a populated profile.</t>
        </is>
      </c>
      <c r="J50" s="7" t="inlineStr">
        <is>
          <t>assign the Outreach Coordinator role profile to the account, and make the login endpoint refuse — or at minimum log. An authenticated user with no role profile, rather than returning an empty string that callers must interpret.</t>
        </is>
      </c>
      <c r="K50" s="9" t="inlineStr">
        <is>
          <t>Open</t>
        </is>
      </c>
    </row>
    <row r="51">
      <c r="A51" s="6" t="inlineStr">
        <is>
          <t>WC-019</t>
        </is>
      </c>
      <c r="B51" s="7" t="inlineStr">
        <is>
          <t>SP /approvals data API returns 404</t>
        </is>
      </c>
      <c r="C51" s="11" t="inlineStr">
        <is>
          <t>S3 Major</t>
        </is>
      </c>
      <c r="D51" s="7" t="inlineStr">
        <is>
          <t>P3</t>
        </is>
      </c>
      <c r="E51" s="7" t="inlineStr">
        <is>
          <t>Skilling Manager, Skilling Partner, Placement Manager</t>
        </is>
      </c>
      <c r="F51" s="7" t="inlineStr">
        <is>
          <t>/sm/batch-management, /sm/budget, /sm/discontinued-skilling-tables, /sp/approvals, /sp/follow-ups, /sp/screening-schedul</t>
        </is>
      </c>
      <c r="G51" s="7" t="inlineStr">
        <is>
          <t>1. Sign in as Skilling Partner and open /sp/approvals with the browser network tab open.
2. Find the failing request in the network log.
3. Note its URL and status code.</t>
        </is>
      </c>
      <c r="H51" s="7" t="inlineStr">
        <is>
          <t>The endpoint the screen calls exists on the deployed build and returns its data.</t>
        </is>
      </c>
      <c r="I51" s="7" t="inlineStr">
        <is>
          <t>SP /approvals data API returns 404.</t>
        </is>
      </c>
      <c r="J51" s="7" t="inlineStr">
        <is>
          <t>the Skilling Partner approvals screen calls an endpoint that is absent on the deployed build. Restore it, or repoint the screen at youth_skilling.api.approval.approval_list, which serves the same records and is present. Note that endpoint carries its own defect (its scope resolver returns unrestricted for any System Manager holder), so repointing alone is not sufficient.</t>
        </is>
      </c>
      <c r="K51" s="9" t="inlineStr">
        <is>
          <t>Open</t>
        </is>
      </c>
    </row>
    <row r="52">
      <c r="A52" s="6" t="inlineStr">
        <is>
          <t>WC-024</t>
        </is>
      </c>
      <c r="B52" s="7" t="inlineStr">
        <is>
          <t>Endpoint-level role separation is inconsistent; data scoping is the only real control</t>
        </is>
      </c>
      <c r="C52" s="11" t="inlineStr">
        <is>
          <t>S3 Major</t>
        </is>
      </c>
      <c r="D52" s="7" t="inlineStr">
        <is>
          <t>P3</t>
        </is>
      </c>
      <c r="E52" s="7" t="inlineStr">
        <is>
          <t>All personas / not role-specific</t>
        </is>
      </c>
      <c r="F52" s="7" t="inlineStr"/>
      <c r="G52" s="7" t="inlineStr">
        <is>
          <t>1. Sign in as an authenticated staff account and note the permitted_centres in the login response.
2. Call the per-persona endpoint set recorded in evidence/authz-audit.json.
3. Compare the centre on every returned record against that permitted list.</t>
        </is>
      </c>
      <c r="H52" s="7" t="inlineStr">
        <is>
          <t>Only data the account is permitted to see is returned, and lower environments hold no real programme data.</t>
        </is>
      </c>
      <c r="I52" s="7" t="inlineStr">
        <is>
          <t>each persona was offered the 67 endpoints exclusive to other personas. Share refused (401/403):; Caller; Read OK; Refused; Refusal rate; OC; 48; 0; 0%; CH; 36; 3; 8%; FC; 45; 7; 13%; SYC; 45; 9; 16%; SM; 33; 11; 24%; SP; 33; 14; 29%.</t>
        </is>
      </c>
      <c r="J52" s="7" t="inlineStr">
        <is>
          <t>See register.</t>
        </is>
      </c>
      <c r="K52" s="9" t="inlineStr">
        <is>
          <t>Open</t>
        </is>
      </c>
    </row>
    <row r="53">
      <c r="A53" s="6" t="inlineStr">
        <is>
          <t>WC-030</t>
        </is>
      </c>
      <c r="B53" s="7" t="inlineStr">
        <is>
          <t>permitted_courses is a string for half the accounts and an array for the other half</t>
        </is>
      </c>
      <c r="C53" s="11" t="inlineStr">
        <is>
          <t>S3 Major</t>
        </is>
      </c>
      <c r="D53" s="7" t="inlineStr">
        <is>
          <t>P3</t>
        </is>
      </c>
      <c r="E53" s="7" t="inlineStr">
        <is>
          <t>Placement Manager, shared login application</t>
        </is>
      </c>
      <c r="F53" s="7" t="inlineStr">
        <is>
          <t>/pm/waiting-for-mapping, /, /auth/google/callback, /authentication/forget-password</t>
        </is>
      </c>
      <c r="G53" s="7" t="inlineStr">
        <is>
          <t>1. Sign in as each of the six personas in turn.
2. Read permitted_courses in each login response.
3. Compare the type across accounts: three return an array, three return the string NA.</t>
        </is>
      </c>
      <c r="H53" s="7" t="inlineStr">
        <is>
          <t>A 4xx response with a message the caller can act on. No stack trace and no HTTP 500.</t>
        </is>
      </c>
      <c r="I53" s="7" t="inlineStr">
        <is>
          <t>Account; permitted_courses; FC; array(3); SP; array(2); SM; array(11); CH; "NA" (string); SYC; "NA" (string); OC; "NA" (string)</t>
        </is>
      </c>
      <c r="J53" s="7" t="inlineStr">
        <is>
          <t>return [] rather than the sentinel string "NA". A field's type should not depend on its value. permitted_centres is correctly an array for every account and is the reference.</t>
        </is>
      </c>
      <c r="K53" s="9" t="inlineStr">
        <is>
          <t>Open</t>
        </is>
      </c>
    </row>
    <row r="54">
      <c r="A54" s="6" t="inlineStr">
        <is>
          <t>WC-031</t>
        </is>
      </c>
      <c r="B54" s="7" t="inlineStr">
        <is>
          <t>Logging in silently terminates the previous session</t>
        </is>
      </c>
      <c r="C54" s="11" t="inlineStr">
        <is>
          <t>S3 Major</t>
        </is>
      </c>
      <c r="D54" s="7" t="inlineStr">
        <is>
          <t>P3</t>
        </is>
      </c>
      <c r="E54" s="7" t="inlineStr">
        <is>
          <t>All personas / not role-specific</t>
        </is>
      </c>
      <c r="F54" s="7" t="inlineStr"/>
      <c r="G54" s="7" t="inlineStr">
        <is>
          <t>1. Sign in as the same account in one browser.
2. Sign in again as that account in a second browser.
3. Return to the first browser and issue any authenticated request.</t>
        </is>
      </c>
      <c r="H54" s="7" t="inlineStr">
        <is>
          <t>Session behaviour is deliberate and the user is told when a session ends.</t>
        </is>
      </c>
      <c r="I54" s="7" t="inlineStr">
        <is>
          <t>two consecutive logins for the same account. api_key is stable; api_secret is regenerated on each login, and the first secret immediately returns 401.</t>
        </is>
      </c>
      <c r="J54" s="7" t="inlineStr">
        <is>
          <t>See register.</t>
        </is>
      </c>
      <c r="K54" s="9" t="inlineStr">
        <is>
          <t>Open</t>
        </is>
      </c>
    </row>
    <row r="55">
      <c r="A55" s="6" t="inlineStr">
        <is>
          <t>WC-055</t>
        </is>
      </c>
      <c r="B55" s="7" t="inlineStr">
        <is>
          <t>The deployable platform is undocumented and larger than the handover</t>
        </is>
      </c>
      <c r="C55" s="11" t="inlineStr">
        <is>
          <t>S3 Major</t>
        </is>
      </c>
      <c r="D55" s="7" t="inlineStr">
        <is>
          <t>P3</t>
        </is>
      </c>
      <c r="E55" s="7" t="inlineStr">
        <is>
          <t>any persona (login)</t>
        </is>
      </c>
      <c r="F55" s="7" t="inlineStr"/>
      <c r="G55" s="7" t="inlineStr">
        <is>
          <t>Inspection, not a runtime reproduction.
1. Open frappe.db.get_value("Employee", {"user_id": user}).
2. Confirm what the Actual Result column describes is present (or absent).
3. Full reasoning is in findings/findings-log.md under WC-055.</t>
        </is>
      </c>
      <c r="H55" s="7" t="inlineStr">
        <is>
          <t>Everything needed to build and run the platform is present in the repositories the foundation owns.</t>
        </is>
      </c>
      <c r="I55" s="7" t="inlineStr">
        <is>
          <t>weconnect-backend-authentication, authentication/api/auth.py:185: frappe.db.get_value("Employee", {"user_id": user}). No Employee doctype is defined by any of the eight backend applications — 297 definitions under 293 distinct names were enumerated across all of them, and none is Employee. Accounts carry identifiers of the form HR-EMP-00471.</t>
        </is>
      </c>
      <c r="J55" s="7" t="inlineStr">
        <is>
          <t>declare required_apps in authentication/hooks.py, and record the deployable set in a README. Both are small; the absence of both is what turns a dependency into a trap.</t>
        </is>
      </c>
      <c r="K55" s="9" t="inlineStr">
        <is>
          <t>Open</t>
        </is>
      </c>
    </row>
    <row r="56">
      <c r="A56" s="6" t="inlineStr">
        <is>
          <t>WC-059</t>
        </is>
      </c>
      <c r="B56" s="7" t="inlineStr">
        <is>
          <t>Orphaned module records remain for three uninstalled applications</t>
        </is>
      </c>
      <c r="C56" s="11" t="inlineStr">
        <is>
          <t>S3 Major</t>
        </is>
      </c>
      <c r="D56" s="7" t="inlineStr">
        <is>
          <t>P3</t>
        </is>
      </c>
      <c r="E56" s="7" t="inlineStr">
        <is>
          <t>All personas / not role-specific</t>
        </is>
      </c>
      <c r="F56" s="7" t="inlineStr"/>
      <c r="G56" s="7" t="inlineStr">
        <is>
          <t>Inspection, not a runtime reproduction.
1. Open the Module Def records for hrms, mannlowe_support and materialized_view_builder.
2. Confirm what the Actual Result column describes is present (or absent).
3. Full reasoning is in findings/findings-log.md under WC-059.</t>
        </is>
      </c>
      <c r="H56" s="7" t="inlineStr">
        <is>
          <t>Everything needed to build and run the platform is present in the repositories the foundation owns.</t>
        </is>
      </c>
      <c r="I56" s="7" t="inlineStr">
        <is>
          <t>Module Def holds records attributed to three applications that get_versions does not list as installed:; Application; Orphaned modules; hrms; HR, Payroll; mannlowe_support; Mannlowe Support; materialized_view_builder; Materialized View Builder.</t>
        </is>
      </c>
      <c r="J56" s="7" t="inlineStr">
        <is>
          <t>remove the orphaned Module Def records, or reinstall-and-uninstall cleanly.</t>
        </is>
      </c>
      <c r="K56" s="9" t="inlineStr">
        <is>
          <t>Open</t>
        </is>
      </c>
    </row>
    <row r="57">
      <c r="A57" s="6" t="inlineStr">
        <is>
          <t>WC-062</t>
        </is>
      </c>
      <c r="B57" s="7" t="inlineStr">
        <is>
          <t>Three doctypes are defined twice, by two different applications</t>
        </is>
      </c>
      <c r="C57" s="11" t="inlineStr">
        <is>
          <t>S3 Major</t>
        </is>
      </c>
      <c r="D57" s="7" t="inlineStr">
        <is>
          <t>P3</t>
        </is>
      </c>
      <c r="E57" s="7" t="inlineStr">
        <is>
          <t>All personas / not role-specific</t>
        </is>
      </c>
      <c r="F57" s="7" t="inlineStr"/>
      <c r="G57" s="7" t="inlineStr">
        <is>
          <t>Inspection, not a runtime reproduction.
1. Open the three doctypes the register names as defined by two applications each.
2. Confirm what the Actual Result column describes is present (or absent).
3. Full reasoning is in findings/findings-log.md under WC-062.</t>
        </is>
      </c>
      <c r="H57" s="7" t="inlineStr">
        <is>
          <t>Everything needed to build and run the platform is present in the repositories the foundation owns.</t>
        </is>
      </c>
      <c r="I57" s="7" t="inlineStr">
        <is>
          <t>parsing all 297 doctype definitions across the eight applications yields only 293 distinct names. Three are declared by both batch_management and event_management:; Doctype; Declared by; Module recorded; Categories; batch_management / event_management; Batch Management / event_management; Event Category; batch_management / event_management; Batch Management / event_management; Reason For Visit; batch_management / event_management; Batch Management / event_management.</t>
        </is>
      </c>
      <c r="J57" s="7" t="inlineStr">
        <is>
          <t>one application owns each doctype; the other declares a dependency on it, or the names are made distinct.</t>
        </is>
      </c>
      <c r="K57" s="9" t="inlineStr">
        <is>
          <t>Open</t>
        </is>
      </c>
    </row>
    <row r="58">
      <c r="A58" s="6" t="inlineStr">
        <is>
          <t>WC-071</t>
        </is>
      </c>
      <c r="B58" s="7" t="inlineStr">
        <is>
          <t>Two independent centre-scoping mechanisms exist, and they can disagree</t>
        </is>
      </c>
      <c r="C58" s="11" t="inlineStr">
        <is>
          <t>S3 Major</t>
        </is>
      </c>
      <c r="D58" s="7" t="inlineStr">
        <is>
          <t>P3</t>
        </is>
      </c>
      <c r="E58" s="7" t="inlineStr">
        <is>
          <t>Placement Manager, shared login application</t>
        </is>
      </c>
      <c r="F58" s="7" t="inlineStr">
        <is>
          <t>/pm/waiting-for-mapping, /, /auth/google/callback, /authentication/forget-password</t>
        </is>
      </c>
      <c r="G58" s="7" t="inlineStr">
        <is>
          <t>1. Sign in as an authenticated staff account — any authenticated account is enough.
2. Call authentication.api.auth.login with no special privileges.
3. Observe that the call is accepted rather than refused, and check whether anything changed.</t>
        </is>
      </c>
      <c r="H58" s="7" t="inlineStr">
        <is>
          <t>One centre-scoping mechanism is authoritative, and every path derives scope from it.</t>
        </is>
      </c>
      <c r="I58" s="7" t="inlineStr">
        <is>
          <t>the platform scopes a user to centres two different ways.; Mechanism; Source of truth; References in code; permitted_centres; User Permission rows with allow="Lighthouse Centre", resolved at login; 89; Employee.custom_center; a Link field on the session user's Employee record; 58.</t>
        </is>
      </c>
      <c r="J58" s="7" t="inlineStr">
        <is>
          <t>derive one from the other, or have write paths consult permitted_centres as read paths do.</t>
        </is>
      </c>
      <c r="K58" s="9" t="inlineStr">
        <is>
          <t>Open</t>
        </is>
      </c>
    </row>
    <row r="59">
      <c r="A59" s="6" t="inlineStr">
        <is>
          <t>WC-072</t>
        </is>
      </c>
      <c r="B59" s="7" t="inlineStr">
        <is>
          <t>A custom field makes ERPNext's Company creation fail</t>
        </is>
      </c>
      <c r="C59" s="11" t="inlineStr">
        <is>
          <t>S3 Major</t>
        </is>
      </c>
      <c r="D59" s="7" t="inlineStr">
        <is>
          <t>P3</t>
        </is>
      </c>
      <c r="E59" s="7" t="inlineStr">
        <is>
          <t>All personas / not role-specific</t>
        </is>
      </c>
      <c r="F59" s="7" t="inlineStr">
        <is>
          <t>weconnect-backend-batch-management, batch_management/fixtures/custom_field.json — adds custom_abbr ("ABBR") to Cost Center as fieldtype: Data, reqd: 1, with no default.</t>
        </is>
      </c>
      <c r="G59" s="7" t="inlineStr">
        <is>
          <t>1. On a clean install built from the repositories, attempt to create an ERPNext Company.
2. Submit the form with all mandatory fields completed.
3. Creation fails on the custom_abbr custom field, which has no default.</t>
        </is>
      </c>
      <c r="H59" s="7" t="inlineStr">
        <is>
          <t>A 4xx response with a message the caller can act on. No stack trace and no HTTP 500.</t>
        </is>
      </c>
      <c r="I59" s="7" t="inlineStr">
        <is>
          <t>A custom field makes ERPNext's Company creation fail.</t>
        </is>
      </c>
      <c r="J59" s="7" t="inlineStr">
        <is>
          <t>give custom_abbr a default, or make it non-mandatory and validate it only where the application actually requires it.</t>
        </is>
      </c>
      <c r="K59" s="9" t="inlineStr">
        <is>
          <t>Open</t>
        </is>
      </c>
    </row>
    <row r="60">
      <c r="A60" s="6" t="inlineStr">
        <is>
          <t>WC-074</t>
        </is>
      </c>
      <c r="B60" s="7" t="inlineStr">
        <is>
          <t>Write failures return HTTP 200, and the success flag is named inconsistently</t>
        </is>
      </c>
      <c r="C60" s="11" t="inlineStr">
        <is>
          <t>S3 Major</t>
        </is>
      </c>
      <c r="D60" s="7" t="inlineStr">
        <is>
          <t>P3</t>
        </is>
      </c>
      <c r="E60" s="7" t="inlineStr">
        <is>
          <t>Outreach Coordinator, Centre Head, Facilitator and Counsellor, Skilling Partner</t>
        </is>
      </c>
      <c r="F60" s="7" t="inlineStr">
        <is>
          <t>/oc/tasks, /ch/ch-tasks, /ch/individual-target, /ch/staff-monitoring, /fc/tasks, /sp/tasks</t>
        </is>
      </c>
      <c r="G60" s="7" t="inlineStr">
        <is>
          <t>1. Sign in as an authenticated staff account.
2. Call outreach.apis.task.task.create_task in a way that must fail (an invalid identifier, a missing field).
3. Compare the HTTP status against the body's own success flag.</t>
        </is>
      </c>
      <c r="H60" s="7" t="inlineStr">
        <is>
          <t>The HTTP status matches the outcome: a failure returns 4xx/5xx, never 200, and the response shape is consistent.</t>
        </is>
      </c>
      <c r="I60" s="7" t="inlineStr">
        <is>
          <t>Observed directly on the isolated instance, creating a Task through outreach.apis.task.task.create_task: - A rejected write is indistinguishable from an accepted one by status code. Both return 200. A caller that checks response.ok — which is the normal thing to do, and what most HTTP clients encourage — treats a refused creation as a successful one. The record does not exist; the caller believes it does.</t>
        </is>
      </c>
      <c r="J60" s="7" t="inlineStr">
        <is>
          <t>return 4xx for a rejected write, and use one flag name, in one case, across the API.</t>
        </is>
      </c>
      <c r="K60" s="9" t="inlineStr">
        <is>
          <t>Open</t>
        </is>
      </c>
    </row>
    <row r="61">
      <c r="A61" s="6" t="inlineStr">
        <is>
          <t>WC-076</t>
        </is>
      </c>
      <c r="B61" s="7" t="inlineStr">
        <is>
          <t>update_task returns a 500 and a traceback when any field is omitted</t>
        </is>
      </c>
      <c r="C61" s="11" t="inlineStr">
        <is>
          <t>S3 Major</t>
        </is>
      </c>
      <c r="D61" s="7" t="inlineStr">
        <is>
          <t>P3</t>
        </is>
      </c>
      <c r="E61" s="7" t="inlineStr">
        <is>
          <t>All personas / not role-specific</t>
        </is>
      </c>
      <c r="F61" s="7" t="inlineStr">
        <is>
          <t>outreach/apis/task/task.py, update_task.</t>
        </is>
      </c>
      <c r="G61" s="7" t="inlineStr">
        <is>
          <t>1. Sign in as an authenticated staff account.
2. Call outreach/apis/task/task.py, update_task omitting a required argument, or with an argument of the wrong type.
3. Read the HTTP status and the response body.</t>
        </is>
      </c>
      <c r="H61" s="7" t="inlineStr">
        <is>
          <t>A 4xx response with a message the caller can act on. No stack trace and no HTTP 500.</t>
        </is>
      </c>
      <c r="I61" s="7" t="inlineStr">
        <is>
          <t>the handler reads five payload keys by direct subscript rather than .get(): subject, description, assign_to, priority, exp_end_date. Omitting any one raises KeyError, which the framework returns as HTTP 500 with a Python traceback — not a validation message.</t>
        </is>
      </c>
      <c r="J61" s="7" t="inlineStr">
        <is>
          <t>data.get(key) throughout, and return a 400 with the missing field named.</t>
        </is>
      </c>
      <c r="K61" s="9" t="inlineStr">
        <is>
          <t>Open</t>
        </is>
      </c>
    </row>
    <row r="62">
      <c r="A62" s="6" t="inlineStr">
        <is>
          <t>WC-089</t>
        </is>
      </c>
      <c r="B62" s="7" t="inlineStr">
        <is>
          <t>Multiple whitelisted endpoints return HTTP 500 on a missing argument</t>
        </is>
      </c>
      <c r="C62" s="11" t="inlineStr">
        <is>
          <t>S3 Major</t>
        </is>
      </c>
      <c r="D62" s="7" t="inlineStr">
        <is>
          <t>P3</t>
        </is>
      </c>
      <c r="E62" s="7" t="inlineStr">
        <is>
          <t>Outreach Coordinator, Centre Head, Facilitator and Counsellor, Skilling Partner</t>
        </is>
      </c>
      <c r="F62" s="7" t="inlineStr">
        <is>
          <t>/oc/tasks, /ch/ch-tasks, /ch/individual-target, /ch/staff-monitoring, /fc/tasks, /sp/tasks</t>
        </is>
      </c>
      <c r="G62" s="7" t="inlineStr">
        <is>
          <t>1. Sign in as an authenticated staff account.
2. Call outreach.apis.task.task.update_task omitting a required argument, or with an argument of the wrong type.
3. Read the HTTP status and the response body.</t>
        </is>
      </c>
      <c r="H62" s="7" t="inlineStr">
        <is>
          <t>A 4xx response with a message the caller can act on. No stack trace and no HTTP 500.</t>
        </is>
      </c>
      <c r="I62" s="7" t="inlineStr">
        <is>
          <t>A recurring pattern, now confirmed on several endpoints: a whitelisted method with required positional parameters returns HTTP 500 with a traceback — not a clean 400 — when a parameter is absent, because Frappe raises TypeError: &lt;fn&gt;() missing N required positional arguments before the function body runs. - Why it matters. A caller that omits a field — or the frontend during a partial update — gets a 500 and a stack trace instead of a validation message naming the missing field.</t>
        </is>
      </c>
      <c r="J62" s="7" t="inlineStr">
        <is>
          <t>give optional parameters defaults and validate presence explicitly, returning 400 with the missing field named. This is idiomatic Frappe; the endpoints that get it right (e.g. create_task with .get()) show the pattern.</t>
        </is>
      </c>
      <c r="K62" s="9" t="inlineStr">
        <is>
          <t>Open</t>
        </is>
      </c>
    </row>
    <row r="63">
      <c r="A63" s="6" t="inlineStr">
        <is>
          <t>WC-096</t>
        </is>
      </c>
      <c r="B63" s="7" t="inlineStr">
        <is>
          <t>Skilling Invoice validate() raises a SQL error on a missing column</t>
        </is>
      </c>
      <c r="C63" s="11" t="inlineStr">
        <is>
          <t>S3 Major</t>
        </is>
      </c>
      <c r="D63" s="7" t="inlineStr">
        <is>
          <t>P3</t>
        </is>
      </c>
      <c r="E63" s="7" t="inlineStr">
        <is>
          <t>All personas / not role-specific</t>
        </is>
      </c>
      <c r="F63" s="7" t="inlineStr"/>
      <c r="G63" s="7" t="inlineStr">
        <is>
          <t>1. Create or save a Skilling Invoice on an install built from the repositories.
2. The doctype's validate() method runs on save and queries a column that is not present in the schema.
3. The save fails with a SQL error naming the missing column.</t>
        </is>
      </c>
      <c r="H63" s="7" t="inlineStr">
        <is>
          <t>A 4xx response with a message the caller can act on. No stack trace and no HTTP 500.</t>
        </is>
      </c>
      <c r="I63" s="7" t="inlineStr">
        <is>
          <t>The earlier "observed, not root-caused" invoice SQL error is now located and confirmed as real. Creating a Skilling Invoice through the normal path fails in validate() (Unknown column 'skilling_batch' in 'WHERE'). The invoice created successfully only when validate was skipped (ignore_validate). So the invoice controller's validate logic contains a query referencing a column that does not exist in the queried table, and it fires on save. Impact: invoice creation through the ordinary path is affected by this.</t>
        </is>
      </c>
      <c r="J63" s="7" t="inlineStr">
        <is>
          <t>the validate() query references a column that does not exist on the table it queries (Unknown column 'skilling_batch' in 'WHERE'). Correct the column name, or the doctype it queries, so invoice creation through the ordinary path succeeds. A test that creates a Skilling Invoice without ignore_validate would have caught this. No such test exists today.</t>
        </is>
      </c>
      <c r="K63" s="9" t="inlineStr">
        <is>
          <t>Open</t>
        </is>
      </c>
    </row>
    <row r="64">
      <c r="A64" s="6" t="inlineStr">
        <is>
          <t>WC-101</t>
        </is>
      </c>
      <c r="B64" s="7" t="inlineStr">
        <is>
          <t>add_remarks crashes with an unhandled ValueError on an empty sequence</t>
        </is>
      </c>
      <c r="C64" s="11" t="inlineStr">
        <is>
          <t>S3 Major</t>
        </is>
      </c>
      <c r="D64" s="7" t="inlineStr">
        <is>
          <t>P3</t>
        </is>
      </c>
      <c r="E64" s="7" t="inlineStr">
        <is>
          <t>Skilling Manager, Skilling Partner, Skilling Youth Coordinator</t>
        </is>
      </c>
      <c r="F64" s="7" t="inlineStr">
        <is>
          <t>/sm/follow-ups, /sp/follow-ups, /syc/assessments, /syc/assignments</t>
        </is>
      </c>
      <c r="G64" s="7" t="inlineStr">
        <is>
          <t>1. Sign in as an authenticated staff account.
2. Call youth_skilling.api.actions.add_remarks omitting a required argument, or with an argument of the wrong type.
3. Read the HTTP status and the response body.</t>
        </is>
      </c>
      <c r="H64" s="7" t="inlineStr">
        <is>
          <t>A 4xx response with a message the caller can act on. No stack trace and no HTTP 500.</t>
        </is>
      </c>
      <c r="I64" s="7" t="inlineStr">
        <is>
          <t>calling it for a youth in the Standby stage returned HTTP 500 with ValueError: max() arg is an empty sequence — the code calls max() over a collection (likely the youth's screening or call records) without handling the empty case.</t>
        </is>
      </c>
      <c r="J64" s="7" t="inlineStr">
        <is>
          <t>guard the aggregation (max(seq, default=...) or an emptiness check).</t>
        </is>
      </c>
      <c r="K64" s="9" t="inlineStr">
        <is>
          <t>Open</t>
        </is>
      </c>
    </row>
    <row r="65">
      <c r="A65" s="6" t="inlineStr">
        <is>
          <t>WC-104</t>
        </is>
      </c>
      <c r="B65" s="7" t="inlineStr">
        <is>
          <t>mark_attendance requires a pre-existing attendance record, and says so only generically</t>
        </is>
      </c>
      <c r="C65" s="11" t="inlineStr">
        <is>
          <t>S3 Major</t>
        </is>
      </c>
      <c r="D65" s="7" t="inlineStr">
        <is>
          <t>P3</t>
        </is>
      </c>
      <c r="E65" s="7" t="inlineStr">
        <is>
          <t>Skilling Partner, Placement Manager</t>
        </is>
      </c>
      <c r="F65" s="7" t="inlineStr">
        <is>
          <t>/sp/assessment, /sp/assignment, /sp/assignment-test, /pm/calling-history, /pm/entrepreneurship, /pm/entrepreneurship/bus</t>
        </is>
      </c>
      <c r="G65" s="7" t="inlineStr">
        <is>
          <t>1. Sign in as an authenticated staff account.
2. Call youth_skilling.api.batch_management.mark_attendance in a way that must fail (an invalid identifier, a missing field).
3. Compare the HTTP status against the body's own success flag.</t>
        </is>
      </c>
      <c r="H65" s="7" t="inlineStr">
        <is>
          <t>The HTTP status matches the outcome: a failure returns 4xx/5xx, never 200, and the response shape is consistent.</t>
        </is>
      </c>
      <c r="I65" s="7" t="inlineStr">
        <is>
          <t>enrolling a youth in the batch's youth child table (Pathway Batch Student) is not sufficient. _apply_attendance looks up a Skilling Batch Attendance record for (skilling_batch_id, youth) and returns "Skilling Batch Attendance record not found for this youth." when absent; the caller sees the top-level "Failed to mark attendance.".</t>
        </is>
      </c>
      <c r="J65" s="7" t="inlineStr">
        <is>
          <t>either create the attendance record on demand, or surface the specific reason in the top-level message. Document the precondition in the docstring either way.</t>
        </is>
      </c>
      <c r="K65" s="9" t="inlineStr">
        <is>
          <t>Open</t>
        </is>
      </c>
    </row>
    <row r="66">
      <c r="A66" s="6" t="inlineStr">
        <is>
          <t>WC-108</t>
        </is>
      </c>
      <c r="B66" s="7" t="inlineStr">
        <is>
          <t>db_create.py assigns undefined identifiers as database connection settings</t>
        </is>
      </c>
      <c r="C66" s="11" t="inlineStr">
        <is>
          <t>S3 Major</t>
        </is>
      </c>
      <c r="D66" s="7" t="inlineStr">
        <is>
          <t>P3</t>
        </is>
      </c>
      <c r="E66" s="7" t="inlineStr">
        <is>
          <t>All personas / not role-specific</t>
        </is>
      </c>
      <c r="F66" s="7" t="inlineStr">
        <is>
          <t>Lighthouse-Communities-Foundation/data-pipeline-dashboard, db_create.py:4-8.</t>
        </is>
      </c>
      <c r="G66" s="7" t="inlineStr">
        <is>
          <t>Inspection, not a runtime reproduction.
1. Open Lighthouse-Communities-Foundation/data-pipeline-dashboard, db_create.py:4-8.
2. Confirm what the Actual Result column describes is present (or absent).
3. Full reasoning is in findings/findings-log.md under WC-108.</t>
        </is>
      </c>
      <c r="H66" s="7" t="inlineStr">
        <is>
          <t>Everything needed to build and run the platform is present in the repositories the foundation owns.</t>
        </is>
      </c>
      <c r="I66" s="7" t="inlineStr">
        <is>
          <t>DB_HOST = yor_host_name, DB_NAME = database_name, DB_USER = user_name, DB_PASSWORD = db_password — bare identifiers, not strings, so the module raises NameError on import. Note the typo yor_host_name.</t>
        </is>
      </c>
      <c r="J66" s="7" t="inlineStr">
        <is>
          <t>read these from the environment (os.environ), as the Google credentials already are, and remove the placeholders.</t>
        </is>
      </c>
      <c r="K66" s="9" t="inlineStr">
        <is>
          <t>Open</t>
        </is>
      </c>
    </row>
    <row r="67">
      <c r="A67" s="6" t="inlineStr">
        <is>
          <t>WC-114</t>
        </is>
      </c>
      <c r="B67" s="7" t="inlineStr">
        <is>
          <t>Mass assignment is blocked on one endpoint by design and on another only by an existing defect</t>
        </is>
      </c>
      <c r="C67" s="11" t="inlineStr">
        <is>
          <t>S3 Major</t>
        </is>
      </c>
      <c r="D67" s="7" t="inlineStr">
        <is>
          <t>P3</t>
        </is>
      </c>
      <c r="E67" s="7" t="inlineStr">
        <is>
          <t>Outreach Coordinator, Centre Head, Facilitator and Counsellor, Skilling Partner</t>
        </is>
      </c>
      <c r="F67" s="7" t="inlineStr">
        <is>
          <t>/oc/tasks, /ch/ch-tasks, /ch/individual-target, /ch/staff-monitoring, /fc/tasks, /sp/tasks</t>
        </is>
      </c>
      <c r="G67" s="7" t="inlineStr">
        <is>
          <t>1. Sign in as an authenticated staff account.
2. Call outreach.apis.pre_enquiry.form.update_form_data with the fields it documents PLUS one it never mentions.
3. Read the record back from the database and check whether the undeclared field was written.</t>
        </is>
      </c>
      <c r="H67" s="7" t="inlineStr">
        <is>
          <t>Only the fields the endpoint declares are written. Any other field in the payload is rejected.</t>
        </is>
      </c>
      <c r="I67" s="7" t="inlineStr">
        <is>
          <t>Tested in response to the OWASP coverage gap at API3 (Broken Object Property Level Authorization), which had not been examined. The result is mixed rather than clean. - Method. As the owning persona, create a record through the normal endpoint, then attempt to set protected or system-controlled properties through the endpoint's data payload, then read the record back from the database to see what actually persisted. Fields attempted: owner, docstatus, the centre link, and the workflow status.</t>
        </is>
      </c>
      <c r="J67" s="7" t="inlineStr">
        <is>
          <t>adopt the Pre Enquiry allowlist pattern across every endpoint that accepts a data payload, and add a test asserting that a system-controlled property such as owner or docstatus cannot be set through any of them.</t>
        </is>
      </c>
      <c r="K67" s="9" t="inlineStr">
        <is>
          <t>Open</t>
        </is>
      </c>
    </row>
    <row r="68">
      <c r="A68" s="6" t="inlineStr">
        <is>
          <t>WC-117</t>
        </is>
      </c>
      <c r="B68" s="7" t="inlineStr">
        <is>
          <t>Brute-force lockout is applied per source IP as well as per account, and reports itself as a server error</t>
        </is>
      </c>
      <c r="C68" s="11" t="inlineStr">
        <is>
          <t>S3 Major</t>
        </is>
      </c>
      <c r="D68" s="7" t="inlineStr">
        <is>
          <t>P3</t>
        </is>
      </c>
      <c r="E68" s="7" t="inlineStr">
        <is>
          <t>any persona (login)</t>
        </is>
      </c>
      <c r="F68" s="7" t="inlineStr"/>
      <c r="G68" s="7" t="inlineStr">
        <is>
          <t>1. No sign-in needed for the header checks.
2. Issue the request described in the Actual Result column against the deployed host.
3. Inspect the response headers (or the cookie attributes) rather than the body.
4. Fastest route: node verify/run.mjs --only WC-117</t>
        </is>
      </c>
      <c r="H68" s="7" t="inlineStr">
        <is>
          <t>The protective setting is in place and the unsafe request is refused.</t>
        </is>
      </c>
      <c r="I68" s="7" t="inlineStr">
        <is>
          <t>after failed attempts against one account, a *different* account was refused from the same address on its first attempt.</t>
        </is>
      </c>
      <c r="J68" s="7" t="inlineStr">
        <is>
          <t>return 429 with a Retry-After header rather than 500. Review whether the per-IP tracker is appropriate for a deployment where many legitimate users share an address, and if it is retained, set its threshold well above the per-account one.</t>
        </is>
      </c>
      <c r="K68" s="9" t="inlineStr">
        <is>
          <t>Open</t>
        </is>
      </c>
    </row>
    <row r="69">
      <c r="A69" s="6" t="inlineStr">
        <is>
          <t>WC-063</t>
        </is>
      </c>
      <c r="B69" s="7" t="inlineStr">
        <is>
          <t>A stale doctype folder declares the same name as its replacement</t>
        </is>
      </c>
      <c r="C69" s="12" t="inlineStr">
        <is>
          <t>S4 Minor</t>
        </is>
      </c>
      <c r="D69" s="7" t="inlineStr">
        <is>
          <t>P4</t>
        </is>
      </c>
      <c r="E69" s="7" t="inlineStr">
        <is>
          <t>All personas / not role-specific</t>
        </is>
      </c>
      <c r="F69" s="7" t="inlineStr">
        <is>
          <t>weconnect-backend-outreach - outreach/outreach/doctype/google_form_settings/google_form_settings.json - outreach/outreach/doctype/google_integration_settings/google_integration_settings.json</t>
        </is>
      </c>
      <c r="G69" s="7" t="inlineStr">
        <is>
          <t>Inspection, not a runtime reproduction.
1. Open weconnect-backend-outreach - outreach/outreach/doctype/google_form_settings/google_form_settings.json - outreach/outreach/doctype/google_integration_settings/google_integration_settings.json.
2. Confirm what the Actual Result column describes is present (or absent).
3. Full reasoning is in findings/findings-log.md under WC-063.</t>
        </is>
      </c>
      <c r="H69" s="7" t="inlineStr">
        <is>
          <t>Everything needed to build and run the platform is present in the repositories the foundation owns.</t>
        </is>
      </c>
      <c r="I69" s="7" t="inlineStr">
        <is>
          <t>both files declare "name": "Google Integration Settings" with identical fields. The modification stamps — 2026-03-05 and 2026-05-26 — show the doctype was renamed and the original folder was never deleted. Only the newer name is referenced in code (outreach/api.py:176, apis/lcf_mastersheet_sync.py:236); Google Form Settings is referenced nowhere.</t>
        </is>
      </c>
      <c r="J69" s="7" t="inlineStr">
        <is>
          <t>delete the google_form_settings/ folder.</t>
        </is>
      </c>
      <c r="K69" s="9" t="inlineStr">
        <is>
          <t>Open</t>
        </is>
      </c>
    </row>
    <row r="70">
      <c r="A70" s="6" t="inlineStr">
        <is>
          <t>WC-120</t>
        </is>
      </c>
      <c r="B70" s="7" t="inlineStr">
        <is>
          <t>File upload accepts any type and any size, though two controls reduce the impact</t>
        </is>
      </c>
      <c r="C70" s="12" t="inlineStr">
        <is>
          <t>S4 Minor</t>
        </is>
      </c>
      <c r="D70" s="7" t="inlineStr">
        <is>
          <t>P4</t>
        </is>
      </c>
      <c r="E70" s="7" t="inlineStr">
        <is>
          <t>All personas / not role-specific</t>
        </is>
      </c>
      <c r="F70" s="7" t="inlineStr">
        <is>
          <t>outreach/apis/registration/files.py upload_file, and the sibling facilitator_and_counsellor/api/registration_form_B/files.py.</t>
        </is>
      </c>
      <c r="G70" s="7" t="inlineStr">
        <is>
          <t>1. Sign in as an authenticated staff account — any authenticated account is enough.
2. Call outreach/apis/registration/files.py upload_file, and the sibling facilitator_and_counsellor/api/registration_form_B/files.py with no special privileges.
3. Observe that the call is accepted rather than refused, and check whether anything changed.</t>
        </is>
      </c>
      <c r="H70" s="7" t="inlineStr">
        <is>
          <t>The endpoint checks the caller's authorisation before acting, and refuses the call when the caller is not permitted.</t>
        </is>
      </c>
      <c r="I70" s="7" t="inlineStr">
        <is>
          <t>With private storage and an authorisation check, the immediate stored-XSS and public-exposure risks are contained, which is why this is recorded at S4 rather than higher. The residual concerns are: an unbounded upload size is a resource-consumption vector, which compounds the absent rate-limiting finding; and content-type trust based on filename is a latent weakness if any future code path serves these files inline or relies on the stored type.</t>
        </is>
      </c>
      <c r="J70" s="7" t="inlineStr">
        <is>
          <t>add an extension/type allowlist appropriate to the documents these forms expect (PDF and common image types), enforce a maximum size, and derive the content type from the file content rather than its name.</t>
        </is>
      </c>
      <c r="K70" s="9" t="inlineStr">
        <is>
          <t>Open</t>
        </is>
      </c>
    </row>
  </sheetData>
  <autoFilter ref="A4:K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0" customWidth="1" min="2" max="2"/>
    <col width="10" customWidth="1" min="3" max="3"/>
    <col width="9" customWidth="1" min="4" max="4"/>
    <col width="26" customWidth="1" min="5" max="5"/>
    <col width="30" customWidth="1" min="6" max="6"/>
    <col width="74" customWidth="1" min="7" max="7"/>
    <col width="46" customWidth="1" min="8" max="8"/>
    <col width="52" customWidth="1" min="9" max="9"/>
    <col width="52" customWidth="1" min="10" max="10"/>
    <col width="12" customWidth="1" min="11" max="11"/>
  </cols>
  <sheetData>
    <row r="1">
      <c r="A1" s="1" t="inlineStr">
        <is>
          <t>Frontend defects — front-end team</t>
        </is>
      </c>
    </row>
    <row r="2">
      <c r="A2" s="13" t="inlineStr">
        <is>
          <t>Defects fixed in the frontend applications (React). 21 of 87 defects. Steps here are written click-by-click: which account, which URL, what to open, what you will see. Accounts: OC kak713.oc@lighthouseconnect.org, CH kak713.ch@, FC kak713.fc@ — all password Kak@123.</t>
        </is>
      </c>
    </row>
    <row r="3"/>
    <row r="4" ht="30" customHeight="1">
      <c r="A4" s="5" t="inlineStr">
        <is>
          <t>Bug ID</t>
        </is>
      </c>
      <c r="B4" s="5" t="inlineStr">
        <is>
          <t>Bug Title</t>
        </is>
      </c>
      <c r="C4" s="5" t="inlineStr">
        <is>
          <t>Severity</t>
        </is>
      </c>
      <c r="D4" s="5" t="inlineStr">
        <is>
          <t>Priority</t>
        </is>
      </c>
      <c r="E4" s="5" t="inlineStr">
        <is>
          <t>Persona / Role</t>
        </is>
      </c>
      <c r="F4" s="5" t="inlineStr">
        <is>
          <t>Screen / Location</t>
        </is>
      </c>
      <c r="G4" s="5" t="inlineStr">
        <is>
          <t>Steps to Reproduce</t>
        </is>
      </c>
      <c r="H4" s="5" t="inlineStr">
        <is>
          <t>Expected Result</t>
        </is>
      </c>
      <c r="I4" s="5" t="inlineStr">
        <is>
          <t>Actual Result</t>
        </is>
      </c>
      <c r="J4" s="5" t="inlineStr">
        <is>
          <t>Suggested Fix</t>
        </is>
      </c>
      <c r="K4" s="5" t="inlineStr">
        <is>
          <t>Status</t>
        </is>
      </c>
    </row>
    <row r="5">
      <c r="A5" s="6" t="inlineStr">
        <is>
          <t>WC-013</t>
        </is>
      </c>
      <c r="B5" s="7" t="inlineStr">
        <is>
          <t>Long-lived API secret stored in localStorage</t>
        </is>
      </c>
      <c r="C5" s="10" t="inlineStr">
        <is>
          <t>S2 Critical</t>
        </is>
      </c>
      <c r="D5" s="7" t="inlineStr">
        <is>
          <t>P2</t>
        </is>
      </c>
      <c r="E5" s="7" t="inlineStr">
        <is>
          <t>any persona (login)</t>
        </is>
      </c>
      <c r="F5" s="7" t="inlineStr">
        <is>
          <t>all persona frontends, src/axios-setup.js + zustand/auth-store.js</t>
        </is>
      </c>
      <c r="G5" s="7" t="inlineStr">
        <is>
          <t>1. Account: sign in as OC — kak713.oc@lighthouseconnect.org / Kak@123 (any account works).
2. Press F12 -&gt; click the Application tab (Chrome) or Storage tab (Firefox).
3. In the left panel expand Local Storage -&gt; click the uat.lighthouseconnect.org entry.
4. In the table, find the keys api_key and api_secret — their values are shown in plain text.
5. Point out: this is the account's API credential, sitting in localStorage where any script on the page (or a browser extension) can read it, and it stays valid for seven days.</t>
        </is>
      </c>
      <c r="H5" s="7" t="inlineStr">
        <is>
          <t>The protective setting is in place and the unsafe request is refused.</t>
        </is>
      </c>
      <c r="I5" s="7" t="inlineStr">
        <is>
          <t>login stores Frappe api_key/api_secret in localStorage; every request sends Authorization: token &lt;key&gt;:&lt;secret&gt;.</t>
        </is>
      </c>
      <c r="J5" s="7" t="inlineStr">
        <is>
          <t>move the session to a short-lived, httpOnly, Secure, SameSite cookie so it cannot be read from JavaScript, and shorten its lifetime. A token in localStorage is readable by any script on the origin — and the persona applications share a single origin, so an XSS in any one of them yields a credential valid for the others.</t>
        </is>
      </c>
      <c r="K5" s="9" t="inlineStr">
        <is>
          <t>Open</t>
        </is>
      </c>
    </row>
    <row r="6">
      <c r="A6" s="6" t="inlineStr">
        <is>
          <t>WC-016</t>
        </is>
      </c>
      <c r="B6" s="7" t="inlineStr">
        <is>
          <t>14 routes render blank on direct load</t>
        </is>
      </c>
      <c r="C6" s="10" t="inlineStr">
        <is>
          <t>S2 Critical</t>
        </is>
      </c>
      <c r="D6" s="7" t="inlineStr">
        <is>
          <t>P2</t>
        </is>
      </c>
      <c r="E6" s="7" t="inlineStr">
        <is>
          <t>Facilitator and Counsellor, Skilling Partner, Skilling Youth Coordinator</t>
        </is>
      </c>
      <c r="F6" s="7" t="inlineStr"/>
      <c r="G6" s="7" t="inlineStr">
        <is>
          <t>1. Account: sign in as FC — kak713.fc@lighthouseconnect.org / Kak@123.
2. In the address bar, type the URL directly: uat.lighthouseconnect.org/fc/badge-table (do not click to it from the menu — type or paste it).
3. Press Enter. The page loads blank — header/sidebar only, no content.
4. Press F12 to open developer tools, click the Console tab.
5. Read the red error: "Cannot read properties of null (reading 'viewType')".
6. Now reach the same screen by clicking through the app's menu instead — it renders. The bug is that the screen only works when opened from inside the app, not by direct URL, refresh, or bookmark.
7. Repeat for /fc/view-post-test and /fc/batch-management/view-batch to show it is not a one-off.</t>
        </is>
      </c>
      <c r="H6" s="7" t="inlineStr">
        <is>
          <t>The screen renders its content when the URL is opened directly, refreshed, or reached from a bookmark.</t>
        </is>
      </c>
      <c r="I6" s="7" t="inlineStr">
        <is>
          <t>the full suite executed three consecutive times. Each route below rendered nothing in every execution, so environmental flake is excluded — routes failing in only some executions are classified separately and are not listed here. Body renders 0 characters.</t>
        </is>
      </c>
      <c r="J6" s="7" t="inlineStr">
        <is>
          <t>root-caused separately to a null navigation state. These routes read their identifier from React Router state, which is absent on a direct load or a refresh. Read the identifier from URL parameters and guard the read. One fix closes this and the group-based route failures below.</t>
        </is>
      </c>
      <c r="K6" s="9" t="inlineStr">
        <is>
          <t>Open</t>
        </is>
      </c>
    </row>
    <row r="7">
      <c r="A7" s="6" t="inlineStr">
        <is>
          <t>WC-017</t>
        </is>
      </c>
      <c r="B7" s="7" t="inlineStr">
        <is>
          <t>Two "group-based" routes fail identically in both FC and SYC</t>
        </is>
      </c>
      <c r="C7" s="10" t="inlineStr">
        <is>
          <t>S2 Critical</t>
        </is>
      </c>
      <c r="D7" s="7" t="inlineStr">
        <is>
          <t>P2</t>
        </is>
      </c>
      <c r="E7" s="7" t="inlineStr">
        <is>
          <t>All personas / not role-specific</t>
        </is>
      </c>
      <c r="F7" s="7" t="inlineStr">
        <is>
          <t>group-based-counselling/attendance and group-based-assign-youth-status, blank in both personas.</t>
        </is>
      </c>
      <c r="G7" s="7" t="inlineStr">
        <is>
          <t>1. Account: sign in as FC — kak713.fc@lighthouseconnect.org / Kak@123.
2. Paste into the address bar: uat.lighthouseconnect.org/fc/group-based-counselling/attendance
3. Press Enter — the screen is blank.
4. F12 -&gt; Console -&gt; read: "Cannot read properties of null (reading 'length')".
5. The identical screen fails the same way in the SYC app, confirming it is one shared component, not two separate bugs.</t>
        </is>
      </c>
      <c r="H7" s="7" t="inlineStr">
        <is>
          <t>The screen renders its content when the URL is opened directly, refreshed, or reached from a bookmark.</t>
        </is>
      </c>
      <c r="I7" s="7" t="inlineStr">
        <is>
          <t>two independent apps failing on the same two route names points at a shared component (persona-common-components) or a shared route-state contract, not at two coincidental per-app bugs. One fix likely clears four failures.</t>
        </is>
      </c>
      <c r="J7" s="7" t="inlineStr">
        <is>
          <t>the same null navigation state as the 14 blank routes — identical cause, identical remedy. Read identifiers from URL parameters rather than router state.</t>
        </is>
      </c>
      <c r="K7" s="9" t="inlineStr">
        <is>
          <t>Open</t>
        </is>
      </c>
    </row>
    <row r="8">
      <c r="A8" s="6" t="inlineStr">
        <is>
          <t>WC-027</t>
        </is>
      </c>
      <c r="B8" s="7" t="inlineStr">
        <is>
          <t>Systematic WCAG critical violations, concentrated in shared navigation</t>
        </is>
      </c>
      <c r="C8" s="10" t="inlineStr">
        <is>
          <t>S2 Critical</t>
        </is>
      </c>
      <c r="D8" s="7" t="inlineStr">
        <is>
          <t>P2</t>
        </is>
      </c>
      <c r="E8" s="7" t="inlineStr">
        <is>
          <t>All personas / not role-specific</t>
        </is>
      </c>
      <c r="F8" s="7" t="inlineStr"/>
      <c r="G8" s="7" t="inlineStr">
        <is>
          <t>1. Account: sign in as any persona (OC).
2. On any screen, right-click the left-hand navigation sidebar -&gt; Inspect.
3. In the Elements panel, observe the list markup: &lt;li&gt; items that are not wrapped in a &lt;ul&gt;, and navigation images with no alt attribute.
4. A screen-reader user cannot identify these navigation items. This markup is in the shared sidebar, so it is wrong on every page of every persona app.
5. For the full list, run axe DevTools (browser extension) on any page, or see our recorded axe-core results.</t>
        </is>
      </c>
      <c r="H8" s="7" t="inlineStr">
        <is>
          <t>The element meets WCAG 2.1 AA.</t>
        </is>
      </c>
      <c r="I8" s="7" t="inlineStr">
        <is>
          <t>The distribution matters as much as the count. Four rules fire on every route scanned, in every persona. This is not 23 pages each carrying its own mistakes. It is one shared layout and navigation component, repeated across all of them. The 181 orphaned &lt;li&gt; elements and the unlabelled icon images match the sidebar navigation observed during route mapping. Impact: a screen-reader user cannot identify navigation items (no alt text), cannot operate icon-only buttons (no accessible name), and meets a malformed list structure on every page.</t>
        </is>
      </c>
      <c r="J8" s="7" t="inlineStr">
        <is>
          <t>correct the sidebar list markup (&lt;li&gt; inside &lt;ul&gt;), add alt to nav icons, give icon-only buttons an aria-label, and remove ARIA attributes not permitted on their roles — all in the shared navigation component.</t>
        </is>
      </c>
      <c r="K8" s="9" t="inlineStr">
        <is>
          <t>Open</t>
        </is>
      </c>
    </row>
    <row r="9">
      <c r="A9" s="6" t="inlineStr">
        <is>
          <t>WC-112</t>
        </is>
      </c>
      <c r="B9" s="7" t="inlineStr">
        <is>
          <t>The frontend is served with no security headers at all</t>
        </is>
      </c>
      <c r="C9" s="10" t="inlineStr">
        <is>
          <t>S2 Critical</t>
        </is>
      </c>
      <c r="D9" s="7" t="inlineStr">
        <is>
          <t>P2</t>
        </is>
      </c>
      <c r="E9" s="7" t="inlineStr">
        <is>
          <t>no account required (unauthenticated)</t>
        </is>
      </c>
      <c r="F9" s="7" t="inlineStr"/>
      <c r="G9" s="7" t="inlineStr">
        <is>
          <t>1. Account: none needed — do this on the login page.
2. Open uat.lighthouseconnect.org, press F12 -&gt; Network tab, then reload the page.
3. In the Network list click the very first request (the document / the app URL itself).
4. Open the Response Headers section on the right.
5. Point out what is ABSENT: no Content-Security-Policy, no X-Frame-Options, no X-Content-Type-Options, no Strict-Transport-Security, no Referrer-Policy.
6. Fastest confirmation for the record: run node verify/run.mjs --only WC-112 which checks all five headers at once.</t>
        </is>
      </c>
      <c r="H9" s="7" t="inlineStr">
        <is>
          <t>The protective setting is in place and the unsafe request is refused.</t>
        </is>
      </c>
      <c r="I9" s="7" t="inlineStr">
        <is>
          <t>HEAD https://uat.lighthouseconnect.org/ returns, in full: Server: nginx/1.24.0 (Ubuntu), Date, Content-Type, Content-Length, Connection, Last-Modified, ETag, Accept-Ranges. None of the following is present:; Header; Absent; What it would prevent; Content-Security-Policy; yes; Cross-site scripting, and exfiltration of anything readable from the page; Strict-Transport-Security; yes; Protocol downgrade … (full detail in the findings register)</t>
        </is>
      </c>
      <c r="J9" s="7" t="inlineStr">
        <is>
          <t>add the headers at the nginx layer serving the frontend. A reasonable starting set is Strict-Transport-Security with a long max-age, X-Content-Type-Options: nosniff, Referrer-Policy: strict-origin-when-cross-origin, X-Frame-Options: DENY (or a CSP frame-ancestors directive), and a Content-Security-Policy developed in report-only mode first so it can be tuned without breaking the applications. Moving the session off localStorage and onto the httpOnly cookie the API already issues would remove the underlying exposure.</t>
        </is>
      </c>
      <c r="K9" s="9" t="inlineStr">
        <is>
          <t>Open</t>
        </is>
      </c>
    </row>
    <row r="10">
      <c r="A10" s="6" t="inlineStr">
        <is>
          <t>WC-133</t>
        </is>
      </c>
      <c r="B10" s="7" t="inlineStr">
        <is>
          <t>Six of the seven frontend applications have no React error boundary, so any component crash blanks the whole screen</t>
        </is>
      </c>
      <c r="C10" s="10" t="inlineStr">
        <is>
          <t>S2 Critical</t>
        </is>
      </c>
      <c r="D10" s="7" t="inlineStr">
        <is>
          <t>P2</t>
        </is>
      </c>
      <c r="E10" s="7" t="inlineStr">
        <is>
          <t>all personas (affects every app except SP)</t>
        </is>
      </c>
      <c r="F10" s="7" t="inlineStr">
        <is>
          <t>all routes</t>
        </is>
      </c>
      <c r="G10" s="7" t="inlineStr">
        <is>
          <t>1. Open weconnect-frontend-sp/src/components/layout/error-boundary.jsx — this is the working pattern.
2. Open the other six apps (OC, auth, ch, fc, sm, syc) and confirm no equivalent exists: grep for ErrorBoundary / componentDidCatch / errorElement returns nothing.
3. Confirm the effect by loading any crashing route (see WC-016): the whole screen blanks rather than showing a contained error.</t>
        </is>
      </c>
      <c r="H10" s="7" t="inlineStr">
        <is>
          <t>A component fault is contained by an error boundary and shows a fallback, not a blank page.</t>
        </is>
      </c>
      <c r="I10" s="7" t="inlineStr">
        <is>
          <t>No ErrorBoundary/componentDidCatch/errorElement in OC, auth, ch, fc, sm, syc. Only weconnect-frontend-sp has a real error-boundary.jsx wired into its layout.</t>
        </is>
      </c>
      <c r="J10" s="7" t="inlineStr">
        <is>
          <t>Copy weconnect-frontend-sp's error-boundary.jsx into the other six apps and wrap each router/layout in it. This contains future crashes; it does not replace the null-guard fix at WC-043.</t>
        </is>
      </c>
      <c r="K10" s="9" t="inlineStr">
        <is>
          <t>Open</t>
        </is>
      </c>
    </row>
    <row r="11">
      <c r="A11" s="6" t="inlineStr">
        <is>
          <t>WC-004</t>
        </is>
      </c>
      <c r="B11" s="7" t="inlineStr">
        <is>
          <t>Committed env files in frontend repos</t>
        </is>
      </c>
      <c r="C11" s="11" t="inlineStr">
        <is>
          <t>S3 Major</t>
        </is>
      </c>
      <c r="D11" s="7" t="inlineStr">
        <is>
          <t>P2</t>
        </is>
      </c>
      <c r="E11" s="7" t="inlineStr">
        <is>
          <t>Facilitator and Counsellor</t>
        </is>
      </c>
      <c r="F11" s="7" t="inlineStr">
        <is>
          <t>weconnect-frontend-fc repo, dev branch: .env, .env.uat, .env.prod tracked</t>
        </is>
      </c>
      <c r="G11" s="7" t="inlineStr">
        <is>
          <t>1. Shown in the repository.
2. Open any frontend repo and confirm .env, .env.uat and .env.prod are committed (they appear in the file list and in git history).
3. Environment configuration should be supplied at build time, not committed to source.</t>
        </is>
      </c>
      <c r="H11" s="7" t="inlineStr">
        <is>
          <t>Everything needed to build and run the platform is present in the repositories the foundation owns.</t>
        </is>
      </c>
      <c r="I11" s="7" t="inlineStr">
        <is>
          <t>hygiene; .env.prod should not be committed. (Contents not inspected.)</t>
        </is>
      </c>
      <c r="J11" s="7" t="inlineStr">
        <is>
          <t>supply environment configuration at build time (CI variables or an untracked .env.local), keep only a committed .env.example, and add .env* to .gitignore with the example excepted. This also removes the possibility of a credential being added to one of these files later and inherited by every fork and clone.</t>
        </is>
      </c>
      <c r="K11" s="9" t="inlineStr">
        <is>
          <t>Open</t>
        </is>
      </c>
    </row>
    <row r="12">
      <c r="A12" s="6" t="inlineStr">
        <is>
          <t>WC-005</t>
        </is>
      </c>
      <c r="B12" s="7" t="inlineStr">
        <is>
          <t>Forgot Password link is a dead anchor</t>
        </is>
      </c>
      <c r="C12" s="11" t="inlineStr">
        <is>
          <t>S3 Major</t>
        </is>
      </c>
      <c r="D12" s="7" t="inlineStr">
        <is>
          <t>P3</t>
        </is>
      </c>
      <c r="E12" s="7" t="inlineStr">
        <is>
          <t>shared login application</t>
        </is>
      </c>
      <c r="F12" s="7" t="inlineStr">
        <is>
          <t>/authentication/forget-password</t>
        </is>
      </c>
      <c r="G12" s="7" t="inlineStr">
        <is>
          <t>1. Account: none — the login page.
2. Open the login screen and click the 'Forgot Password' link.
3. Observe: nothing happens — the link does not navigate. Right-click it -&gt; Inspect and confirm the anchor points at href="#" rather than the reset route.
4. Effect: a user who forgets their password has no working way to reset it from the UI.</t>
        </is>
      </c>
      <c r="H12" s="7" t="inlineStr">
        <is>
          <t>The screen renders its content when the URL is opened directly, refreshed, or reached from a bookmark.</t>
        </is>
      </c>
      <c r="I12" s="7" t="inlineStr">
        <is>
          <t>"Forgot Password?" href="#" — no destination.</t>
        </is>
      </c>
      <c r="J12" s="7" t="inlineStr">
        <is>
          <t>point the anchor at the password-reset route, or remove it until that route exists. The backend already exposes authentication.api.password.send_otp / verify_otp / reset_password, so the flow exists server-side and only the entry point is missing. A user who forgets their password currently has no self-service path at all.</t>
        </is>
      </c>
      <c r="K12" s="9" t="inlineStr">
        <is>
          <t>Open</t>
        </is>
      </c>
    </row>
    <row r="13">
      <c r="A13" s="6" t="inlineStr">
        <is>
          <t>WC-006</t>
        </is>
      </c>
      <c r="B13" s="7" t="inlineStr">
        <is>
          <t>Password field missing autocomplete attribute</t>
        </is>
      </c>
      <c r="C13" s="11" t="inlineStr">
        <is>
          <t>S3 Major</t>
        </is>
      </c>
      <c r="D13" s="7" t="inlineStr">
        <is>
          <t>P3</t>
        </is>
      </c>
      <c r="E13" s="7" t="inlineStr">
        <is>
          <t>All personas / not role-specific</t>
        </is>
      </c>
      <c r="F13" s="7" t="inlineStr">
        <is>
          <t>/authentication/login</t>
        </is>
      </c>
      <c r="G13" s="7" t="inlineStr">
        <is>
          <t>1. Account: none — the login page.
2. Open uat.lighthouseconnect.org login screen.
3. Right-click the password field -&gt; Inspect.
4. In the Elements panel, read the &lt;input&gt; tag: it has type="password" but no autocomplete="current-password" attribute.
5. Effect: password managers and browser autofill do not reliably recognise the field.</t>
        </is>
      </c>
      <c r="H13" s="7" t="inlineStr">
        <is>
          <t>The element meets WCAG 2.1 AA.</t>
        </is>
      </c>
      <c r="I13" s="7" t="inlineStr">
        <is>
          <t>Chrome DOM warning; breaks password managers / a11y.</t>
        </is>
      </c>
      <c r="J13" s="7" t="inlineStr">
        <is>
          <t>add autocomplete="current-password" to the login password input (and autocomplete="username" to the identifier field). One attribute each; it restores password manager support and clears the browser console warning.</t>
        </is>
      </c>
      <c r="K13" s="9" t="inlineStr">
        <is>
          <t>Open</t>
        </is>
      </c>
    </row>
    <row r="14">
      <c r="A14" s="6" t="inlineStr">
        <is>
          <t>WC-028</t>
        </is>
      </c>
      <c r="B14" s="7" t="inlineStr">
        <is>
          <t>Colour contrast below WCAG AA on 13 routes</t>
        </is>
      </c>
      <c r="C14" s="11" t="inlineStr">
        <is>
          <t>S3 Major</t>
        </is>
      </c>
      <c r="D14" s="7" t="inlineStr">
        <is>
          <t>P3</t>
        </is>
      </c>
      <c r="E14" s="7" t="inlineStr">
        <is>
          <t>All personas / not role-specific</t>
        </is>
      </c>
      <c r="F14" s="7" t="inlineStr"/>
      <c r="G14" s="7" t="inlineStr">
        <is>
          <t>1. Account: sign in as any persona (OC).
2. Open any dashboard. Right-click a faint label or secondary button -&gt; Inspect.
3. In DevTools, the Accessibility / Contrast indicator shows the text/background ratio below the WCAG AA threshold of 4.5:1.
4. This was measured across 13 routes; the failures sit in shared components so they recur widely.</t>
        </is>
      </c>
      <c r="H14" s="7" t="inlineStr">
        <is>
          <t>The element meets WCAG 2.1 AA.</t>
        </is>
      </c>
      <c r="I14" s="7" t="inlineStr">
        <is>
          <t>color-contrast, serious, 13 routes, 43 elements.</t>
        </is>
      </c>
      <c r="J14" s="7" t="inlineStr">
        <is>
          <t>the failures are concentrated in shared navigation and shared button styles rather than spread across pages, so correcting the palette tokens in the shared component library (persona-common-components) fixes most instances at once. Target WCAG AA — 4.5:1 for body text, 3:1 for large text and UI boundaries — and add an automated contrast check to CI so regressions are caught at build time.</t>
        </is>
      </c>
      <c r="K14" s="9" t="inlineStr">
        <is>
          <t>Open</t>
        </is>
      </c>
    </row>
    <row r="15">
      <c r="A15" s="6" t="inlineStr">
        <is>
          <t>WC-127</t>
        </is>
      </c>
      <c r="B15" s="7" t="inlineStr">
        <is>
          <t>Frontend dependencies carry known high-severity advisories, including the HTTP client used by every application</t>
        </is>
      </c>
      <c r="C15" s="11" t="inlineStr">
        <is>
          <t>S3 Major</t>
        </is>
      </c>
      <c r="D15" s="7" t="inlineStr">
        <is>
          <t>P3</t>
        </is>
      </c>
      <c r="E15" s="7" t="inlineStr">
        <is>
          <t>All personas / not role-specific</t>
        </is>
      </c>
      <c r="F15" s="7" t="inlineStr"/>
      <c r="G15" s="7" t="inlineStr">
        <is>
          <t>1. Shown by running one command per app.
2. In any frontend repo run: npm audit --audit-level=high
3. Read the summary. Across the nine JS projects there are 14 critical and 181 high advisories; the four criticals are test tooling, but axios — the HTTP client used for every API call — is affected in 8 of 9 apps.</t>
        </is>
      </c>
      <c r="H15" s="7" t="inlineStr">
        <is>
          <t>Build and release hygiene: no development artefacts, warnings or broken copy in a deployed application.</t>
        </is>
      </c>
      <c r="I15" s="7" t="inlineStr">
        <is>
          <t>npm audit across the nine committed lockfiles reports 14 critical, 181 high, 74 moderate, 9 low. Separating runtime from build dependencies: 8 distinct critical/high packages reach users, 26 do not. All four criticals are test tooling (vitest, tinypool, @vitest/coverage-v8, a form-data path beneath them). axios, the HTTP client used to call the backend, is affected in 8 of 9 projects; the react-router family in 5.</t>
        </is>
      </c>
      <c r="J15" s="7" t="inlineStr">
        <is>
          <t>Run npm audit fix in each project and commit the updated lockfile. Start with axios: highest value, lowest risk. Treat any react-router major upgrade as separate work, since it interacts with WC-043. Add npm audit --audit-level=high to CI, which currently has no dependency check.</t>
        </is>
      </c>
      <c r="K15" s="9" t="inlineStr">
        <is>
          <t>Open</t>
        </is>
      </c>
    </row>
    <row r="16">
      <c r="A16" s="6" t="inlineStr">
        <is>
          <t>WC-129</t>
        </is>
      </c>
      <c r="B16" s="7" t="inlineStr">
        <is>
          <t>Two live Google API keys are committed to the repositories, one hardcoded in a source file</t>
        </is>
      </c>
      <c r="C16" s="11" t="inlineStr">
        <is>
          <t>S3 Major</t>
        </is>
      </c>
      <c r="D16" s="7" t="inlineStr">
        <is>
          <t>P3</t>
        </is>
      </c>
      <c r="E16" s="7" t="inlineStr">
        <is>
          <t>not role-specific</t>
        </is>
      </c>
      <c r="F16" s="7" t="inlineStr"/>
      <c r="G16" s="7" t="inlineStr">
        <is>
          <t>1. Shown in source.
2. Open weconnect-frontend/.env (and .env.uat, .env.prod): VITE_MAP_API_KEY holds a live Google key in plain text.
3. Open weconnect-frontend-fc/src/components/google-map/google-map.jsx: a second key is hardcoded directly in the source.
4. Both are in git history, so they must be rotated, not just deleted.</t>
        </is>
      </c>
      <c r="H16" s="7" t="inlineStr">
        <is>
          <t>No API key is committed; keys live in the build environment and are restricted by HTTP referrer.</t>
        </is>
      </c>
      <c r="I16" s="7" t="inlineStr">
        <is>
          <t>Two keys committed. Tested with one Geocoding request each and no referrer: the first returns REQUEST_DENIED "You must enable Billing" (cannot be charged); the second returns REQUEST_DENIED "This API is not activated". Neither is currently usable, which is why this is S3.</t>
        </is>
      </c>
      <c r="J16" s="7" t="inlineStr">
        <is>
          <t>Rotate both keys in the Google Cloud console (deleting the lines does not help — they are in git history). Move the replacement into the build environment, restrict by HTTP referrer to the foundation's hosts, and remove the hardcoded key from google-map.jsx.</t>
        </is>
      </c>
      <c r="K16" s="9" t="inlineStr">
        <is>
          <t>Open</t>
        </is>
      </c>
    </row>
    <row r="17">
      <c r="A17" s="6" t="inlineStr">
        <is>
          <t>WC-130</t>
        </is>
      </c>
      <c r="B17" s="7" t="inlineStr">
        <is>
          <t>Backend-supplied content is rendered as raw HTML, giving a stored cross-site scripting path</t>
        </is>
      </c>
      <c r="C17" s="11" t="inlineStr">
        <is>
          <t>S3 Major</t>
        </is>
      </c>
      <c r="D17" s="7" t="inlineStr">
        <is>
          <t>P3</t>
        </is>
      </c>
      <c r="E17" s="7" t="inlineStr">
        <is>
          <t>Outreach Coordinator (community dashboard viewer)</t>
        </is>
      </c>
      <c r="F17" s="7" t="inlineStr">
        <is>
          <t>/oc community dashboard (outreach-community)</t>
        </is>
      </c>
      <c r="G17" s="7" t="inlineStr">
        <is>
          <t>1. This is shown in the source, not the running app (demonstrating it live could execute injected HTML).
2. Open the repo file: weconnect-frontend/src/pages/outreach-planning/outreach-community/target-card.jsx, line 147.
3. Point to: dangerouslySetInnerHTML={{ __html: strategy }} — this renders backend-supplied text as raw HTML, bypassing React's escaping.
4. The open question for the client: who can edit the 'recommended strategy' text? If any user can, a script stored there runs for everyone who opens the community dashboard.</t>
        </is>
      </c>
      <c r="H17" s="7" t="inlineStr">
        <is>
          <t>User-supplied content is escaped or sanitised before rendering; raw HTML is not injected.</t>
        </is>
      </c>
      <c r="I17" s="7" t="inlineStr">
        <is>
          <t>One dangerouslySetInnerHTML across the entire frontend estate, at target-card.jsx:147, rendering the backend-supplied 'strategy' string as raw HTML. Whether the field is user-writable is not yet confirmed.</t>
        </is>
      </c>
      <c r="J17" s="7" t="inlineStr">
        <is>
          <t>If the field only needs bold or line breaks, render as text and format in the component. If HTML must be supported, sanitise on input with an allowlist (DOMPurify). First answer: who can edit the recommended strategy text?</t>
        </is>
      </c>
      <c r="K17" s="9" t="inlineStr">
        <is>
          <t>Open</t>
        </is>
      </c>
    </row>
    <row r="18">
      <c r="A18" s="6" t="inlineStr">
        <is>
          <t>WC-134</t>
        </is>
      </c>
      <c r="B18" s="7" t="inlineStr">
        <is>
          <t>264 image elements across the frontend have no alt attribute, concentrated in shared components</t>
        </is>
      </c>
      <c r="C18" s="11" t="inlineStr">
        <is>
          <t>S3 Major</t>
        </is>
      </c>
      <c r="D18" s="7" t="inlineStr">
        <is>
          <t>P3</t>
        </is>
      </c>
      <c r="E18" s="7" t="inlineStr">
        <is>
          <t>all personas</t>
        </is>
      </c>
      <c r="F18" s="7" t="inlineStr">
        <is>
          <t>shared components + 107 page-level</t>
        </is>
      </c>
      <c r="G18" s="7" t="inlineStr">
        <is>
          <t>1. In any frontend repo run: grep -rn '&lt;img' src; grep -v alt= (or run axe DevTools on any page).
2. Confirm the &lt;img&gt; elements have no alt attribute.
3. Start with the 157 in shared/common components — fixing those helps every screen that uses them.</t>
        </is>
      </c>
      <c r="H18" s="7" t="inlineStr">
        <is>
          <t>Every &lt;img&gt; has an alt attribute: descriptive for meaningful images, empty (alt="") for decorative ones.</t>
        </is>
      </c>
      <c r="I18" s="7" t="inlineStr">
        <is>
          <t>264 &lt;img&gt; with no alt across the estate — SM 72, SP 59, SYC 49, FC 27, persona-common 27, CH 17, OC 13. 157 sit in shared components.</t>
        </is>
      </c>
      <c r="J18" s="7" t="inlineStr">
        <is>
          <t>Add alt="" to decorative images and a short description to meaningful ones, shared components first. Add the jsx-a11y/alt-text lint rule to prevent recurrence.</t>
        </is>
      </c>
      <c r="K18" s="9" t="inlineStr">
        <is>
          <t>Open</t>
        </is>
      </c>
    </row>
    <row r="19">
      <c r="A19" s="6" t="inlineStr">
        <is>
          <t>WC-136</t>
        </is>
      </c>
      <c r="B19" s="7" t="inlineStr">
        <is>
          <t>Seven further routes throw an uncaught error and blank the screen for an account with no assigned centres</t>
        </is>
      </c>
      <c r="C19" s="11" t="inlineStr">
        <is>
          <t>S3 Major</t>
        </is>
      </c>
      <c r="D19" s="7" t="inlineStr">
        <is>
          <t>P3</t>
        </is>
      </c>
      <c r="E19" s="7" t="inlineStr">
        <is>
          <t>OC, CH, FC — any account with no assigned centres</t>
        </is>
      </c>
      <c r="F19" s="7" t="inlineStr">
        <is>
          <t>7 routes (see steps)</t>
        </is>
      </c>
      <c r="G19" s="7" t="inlineStr">
        <is>
          <t>1. Account: sign in as FC — kak713.fc@lighthouseconnect.org / Kak@123 (an account with no assigned centres).
2. Paste into the address bar: uat.lighthouseconnect.org/fc/view-feedBack and press Enter.
3. The screen is blank. F12 -&gt; Console -&gt; read: 'Cannot destructure property youthId of null'.
4. Repeat as CH for /ch/budget-profile, /ch/program-targets, /ch/person-wise-target; and as OC for /oc/outreach-planning-dashboard, /oc/batch-management/merge-batch — each throws an uncaught error.
5. Re-check with a fully provisioned account to confirm whether each crashes for everyone or only on the empty-data path.</t>
        </is>
      </c>
      <c r="H19" s="7" t="inlineStr">
        <is>
          <t>A screen loaded by an account with no data shows an empty state, not a blank crash.</t>
        </is>
      </c>
      <c r="I19" s="7" t="inlineStr">
        <is>
          <t>Uncaught JS errors on: fc/view-feedBack ('Cannot destructure property youthId of null'), ch/budget-profile, ch/program-targets, ch/person-wise-target, ch/person-wise-target-planning, oc/outreach-planning-dashboard, oc/batch-management/merge-batch.</t>
        </is>
      </c>
      <c r="J19" s="7" t="inlineStr">
        <is>
          <t>Guard the data access on these screens (optional chaining + an explicit empty state), and add the WC-133 error boundary so any residual crash is contained. fc/view-feedBack: guard the youthId destructure.</t>
        </is>
      </c>
      <c r="K19" s="9" t="inlineStr">
        <is>
          <t>Open</t>
        </is>
      </c>
    </row>
    <row r="20">
      <c r="A20" s="6" t="inlineStr">
        <is>
          <t>WC-007</t>
        </is>
      </c>
      <c r="B20" s="7" t="inlineStr">
        <is>
          <t>Source-tree asset path in built app</t>
        </is>
      </c>
      <c r="C20" s="12" t="inlineStr">
        <is>
          <t>S4 Minor</t>
        </is>
      </c>
      <c r="D20" s="7" t="inlineStr">
        <is>
          <t>P4</t>
        </is>
      </c>
      <c r="E20" s="7" t="inlineStr">
        <is>
          <t>All personas / not role-specific</t>
        </is>
      </c>
      <c r="F20" s="7" t="inlineStr"/>
      <c r="G20" s="7" t="inlineStr">
        <is>
          <t>1. Shown in the deployed build output, not the running UI.
2. Open the browser on any persona app, press F12 -&gt; Sources (or Debugger) tab.
3. Search the loaded bundle for a source-tree path such as '/src/' that leaked into the shipped asset reference.
4. Confirm the built app references a development path rather than the built asset path.</t>
        </is>
      </c>
      <c r="H20" s="7" t="inlineStr">
        <is>
          <t>Build and release hygiene: no development artefacts, warnings or broken copy in a deployed application.</t>
        </is>
      </c>
      <c r="I20" s="7" t="inlineStr">
        <is>
          <t>login requests /src/assets/icons/logo_transparent.png (unbundled source path)</t>
        </is>
      </c>
      <c r="J20" s="7" t="inlineStr">
        <is>
          <t>import the asset so the bundler fingerprints and rewrites its path, rather than referencing /src/... literally. As shipped the path only resolves by accident of how the site is served, and will 404 under any stricter static configuration.</t>
        </is>
      </c>
      <c r="K20" s="9" t="inlineStr">
        <is>
          <t>Open</t>
        </is>
      </c>
    </row>
    <row r="21">
      <c r="A21" s="6" t="inlineStr">
        <is>
          <t>WC-008</t>
        </is>
      </c>
      <c r="B21" s="7" t="inlineStr">
        <is>
          <t>Broken grammar in user-facing error</t>
        </is>
      </c>
      <c r="C21" s="12" t="inlineStr">
        <is>
          <t>S4 Minor</t>
        </is>
      </c>
      <c r="D21" s="7" t="inlineStr">
        <is>
          <t>P4</t>
        </is>
      </c>
      <c r="E21" s="7" t="inlineStr">
        <is>
          <t>All personas / not role-specific</t>
        </is>
      </c>
      <c r="F21" s="7" t="inlineStr"/>
      <c r="G21" s="7" t="inlineStr">
        <is>
          <t>1. Account: whichever persona triggers the error named in the register entry.
2. Perform the action that raises the user-facing error message.
3. Read the message shown on screen — the grammar is broken (exact string is in the register).
4. This is a copy fix in the frontend string, not a logic change.</t>
        </is>
      </c>
      <c r="H21" s="7" t="inlineStr">
        <is>
          <t>Build and release hygiene: no development artefacts, warnings or broken copy in a deployed application.</t>
        </is>
      </c>
      <c r="I21" s="7" t="inlineStr">
        <is>
          <t>"Failed to Target data." (FC dashboard target fetch failure)</t>
        </is>
      </c>
      <c r="J21" s="7" t="inlineStr">
        <is>
          <t>correct the string to a sentence — for example "Could not load target data." The same screen's underlying 404 is recorded separately; this item is only the wording.</t>
        </is>
      </c>
      <c r="K21" s="9" t="inlineStr">
        <is>
          <t>Open</t>
        </is>
      </c>
    </row>
    <row r="22">
      <c r="A22" s="6" t="inlineStr">
        <is>
          <t>WC-009</t>
        </is>
      </c>
      <c r="B22" s="7" t="inlineStr">
        <is>
          <t>React Router v6 future-flag warnings</t>
        </is>
      </c>
      <c r="C22" s="12" t="inlineStr">
        <is>
          <t>S4 Minor</t>
        </is>
      </c>
      <c r="D22" s="7" t="inlineStr">
        <is>
          <t>P4</t>
        </is>
      </c>
      <c r="E22" s="7" t="inlineStr">
        <is>
          <t>All personas / not role-specific</t>
        </is>
      </c>
      <c r="F22" s="7" t="inlineStr"/>
      <c r="G22" s="7" t="inlineStr">
        <is>
          <t>1. Account: sign in as any persona (OC).
2. Open any screen, press F12 -&gt; Console tab.
3. On page load, read the React Router v6 'future flag' warnings printed to the console.
4. These are forward-compatibility warnings; harmless now but should be resolved before the next React Router upgrade.</t>
        </is>
      </c>
      <c r="H22" s="7" t="inlineStr">
        <is>
          <t>Build and release hygiene: no development artefacts, warnings or broken copy in a deployed application.</t>
        </is>
      </c>
      <c r="I22" s="7" t="inlineStr">
        <is>
          <t>console warnings, v7_startTransition / v7_relativeSplatPath. Tech-debt, not user-facing.</t>
        </is>
      </c>
      <c r="J22" s="7" t="inlineStr">
        <is>
          <t>opt in to the v7 behaviours now (v7_startTransition, v7_relativeSplatPath) so the eventual upgrade is a no-op, or pin the router version and record the decision. Console noise is the visible symptom; the real cost is that genuine warnings are lost among it.</t>
        </is>
      </c>
      <c r="K22" s="9" t="inlineStr">
        <is>
          <t>Open</t>
        </is>
      </c>
    </row>
    <row r="23">
      <c r="A23" s="6" t="inlineStr">
        <is>
          <t>WC-010</t>
        </is>
      </c>
      <c r="B23" s="7" t="inlineStr">
        <is>
          <t>Doubled route segment</t>
        </is>
      </c>
      <c r="C23" s="12" t="inlineStr">
        <is>
          <t>S4 Minor</t>
        </is>
      </c>
      <c r="D23" s="7" t="inlineStr">
        <is>
          <t>P4</t>
        </is>
      </c>
      <c r="E23" s="7" t="inlineStr">
        <is>
          <t>Facilitator and Counsellor</t>
        </is>
      </c>
      <c r="F23" s="7" t="inlineStr"/>
      <c r="G23" s="7" t="inlineStr">
        <is>
          <t>1. Shown in the frontend source.
2. Open the affected app's src/routes.js (or App.jsx).
3. Find the route defined with a doubled path segment (e.g. a path that resolves to /fc/fc/...).
4. Correct the duplicated segment so the route resolves once.</t>
        </is>
      </c>
      <c r="H23" s="7" t="inlineStr">
        <is>
          <t>Build and release hygiene: no development artefacts, warnings or broken copy in a deployed application.</t>
        </is>
      </c>
      <c r="I23" s="7" t="inlineStr">
        <is>
          <t>FC nav links use /fc/fc/all-batches, /fc/fc/counselling, /fc/fc/tasks (double fc). Works, but smells like a base-path bug.</t>
        </is>
      </c>
      <c r="J23" s="7" t="inlineStr">
        <is>
          <t>the navigation links include the base path that the router already applies, producing /fc/fc/.... Make the links relative to the router base, or drop the base from the basename configuration — one or the other, not both. It works today only because the server tolerates the duplicated segment.</t>
        </is>
      </c>
      <c r="K23" s="9" t="inlineStr">
        <is>
          <t>Open</t>
        </is>
      </c>
    </row>
    <row r="24">
      <c r="A24" s="6" t="inlineStr">
        <is>
          <t>WC-032</t>
        </is>
      </c>
      <c r="B24" s="7" t="inlineStr">
        <is>
          <t>Dead anchors (href="#") in navigation</t>
        </is>
      </c>
      <c r="C24" s="12" t="inlineStr">
        <is>
          <t>S4 Minor</t>
        </is>
      </c>
      <c r="D24" s="7" t="inlineStr">
        <is>
          <t>P4</t>
        </is>
      </c>
      <c r="E24" s="7" t="inlineStr">
        <is>
          <t>All personas / not role-specific</t>
        </is>
      </c>
      <c r="F24" s="7" t="inlineStr"/>
      <c r="G24" s="7" t="inlineStr">
        <is>
          <t>1. Account: sign in as any persona.
2. Right-click a navigation item that does nothing when clicked -&gt; Inspect.
3. Confirm the anchor is &lt;a href="#"&gt; — a placeholder link that was never wired to a destination.</t>
        </is>
      </c>
      <c r="H24" s="7" t="inlineStr">
        <is>
          <t>The screen renders its content when the URL is opened directly, refreshed, or reached from a bookmark.</t>
        </is>
      </c>
      <c r="I24" s="7" t="inlineStr">
        <is>
          <t>10 across the sampled routes — CH 6, FC 3, and "Forgot Password?" on the shared login page. They render as links, respond to hover, and do nothing when clicked.</t>
        </is>
      </c>
      <c r="J24" s="7" t="inlineStr">
        <is>
          <t>give each anchor a real destination, or use a &lt;button&gt; where the element triggers an action rather than navigation. An href="#" is announced to assistive technology as a link that goes nowhere, and it scrolls the page to the top when activated — so this is an accessibility defect as well as a cosmetic one.</t>
        </is>
      </c>
      <c r="K24" s="9" t="inlineStr">
        <is>
          <t>Open</t>
        </is>
      </c>
    </row>
    <row r="25">
      <c r="A25" s="6" t="inlineStr">
        <is>
          <t>WC-041</t>
        </is>
      </c>
      <c r="B25" s="7" t="inlineStr">
        <is>
          <t>Developer test route shipped in the deployed Outreach Coordinator application</t>
        </is>
      </c>
      <c r="C25" s="12" t="inlineStr">
        <is>
          <t>S4 Minor</t>
        </is>
      </c>
      <c r="D25" s="7" t="inlineStr">
        <is>
          <t>P4</t>
        </is>
      </c>
      <c r="E25" s="7" t="inlineStr">
        <is>
          <t>Outreach Coordinator</t>
        </is>
      </c>
      <c r="F25" s="7" t="inlineStr">
        <is>
          <t>/oc/test-zustand, defined in the OC application's router and reachable in UAT.</t>
        </is>
      </c>
      <c r="G25" s="7" t="inlineStr">
        <is>
          <t>1. Account: sign in as OC.
2. Paste into the address bar: uat.lighthouseconnect.org/oc/test-zustand
3. Observe a developer test screen (a state-library scratch page) that has shipped into the live Outreach Coordinator app.
4. This is a build-hygiene issue — a developer artefact should not be reachable in a deployed application.</t>
        </is>
      </c>
      <c r="H25" s="7" t="inlineStr">
        <is>
          <t>Build and release hygiene: no development artefacts, warnings or broken copy in a deployed application.</t>
        </is>
      </c>
      <c r="I25" s="7" t="inlineStr">
        <is>
          <t>present in the deployed route inventory; named for the state-management library, indicating a development scratch screen rather than a user-facing feature.</t>
        </is>
      </c>
      <c r="J25" s="7" t="inlineStr">
        <is>
          <t>exclude development routes from production builds, or gate them behind a build flag.</t>
        </is>
      </c>
      <c r="K25" s="9" t="inlineStr">
        <is>
          <t>Open</t>
        </is>
      </c>
    </row>
  </sheetData>
  <autoFilter ref="A4:K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3" customWidth="1" min="1" max="1"/>
    <col width="13" customWidth="1" min="2" max="2"/>
    <col width="74" customWidth="1" min="3" max="3"/>
    <col width="74" customWidth="1" min="4" max="4"/>
    <col width="16" customWidth="1" min="5" max="5"/>
    <col width="14" customWidth="1" min="6" max="6"/>
    <col width="46" customWidth="1" min="7" max="7"/>
  </cols>
  <sheetData>
    <row r="1">
      <c r="A1" s="1" t="inlineStr">
        <is>
          <t>Daily Progress</t>
        </is>
      </c>
    </row>
    <row r="2">
      <c r="A2" s="14" t="inlineStr">
        <is>
          <t>One row per working day. 'Previous Day Report' repeats the prior row's work so a reader sees movement without scrolling back.</t>
        </is>
      </c>
    </row>
    <row r="4" ht="32" customHeight="1">
      <c r="A4" s="5" t="inlineStr">
        <is>
          <t>Date</t>
        </is>
      </c>
      <c r="B4" s="5" t="inlineStr">
        <is>
          <t>Working Day</t>
        </is>
      </c>
      <c r="C4" s="5" t="inlineStr">
        <is>
          <t>Previous Day Report</t>
        </is>
      </c>
      <c r="D4" s="5" t="inlineStr">
        <is>
          <t>Today's Report</t>
        </is>
      </c>
      <c r="E4" s="5" t="inlineStr">
        <is>
          <t>Register Total (end of day)</t>
        </is>
      </c>
      <c r="F4" s="5" t="inlineStr">
        <is>
          <t>Raised That Day</t>
        </is>
      </c>
      <c r="G4" s="5" t="inlineStr">
        <is>
          <t>Blockers / Notes</t>
        </is>
      </c>
    </row>
    <row r="5">
      <c r="A5" s="7" t="inlineStr">
        <is>
          <t>2026-09-18</t>
        </is>
      </c>
      <c r="B5" s="7" t="inlineStr">
        <is>
          <t>Day 1</t>
        </is>
      </c>
      <c r="C5" s="7" t="inlineStr">
        <is>
          <t>Engagement had not yet started.</t>
        </is>
      </c>
      <c r="D5" s="7" t="inlineStr">
        <is>
          <t>Project foundation, architecture, scope, methodology • Phase 1 baseline, findings register, three graphs • Reachability figures replaced with single-run verified results (219/235, 93.2%; 16 persistent failures; 9 retries) superseding the earlier stitched 214/235. Shared-component defect cluster added (§7). PM reclassified from "awaiting credentials" to "deferred — under development" (§3, §9). SP notes corrected: approvals renders and is an API-contract defect, not a blank page. BrowserStack capacity constraint added with measured costings (§10.4). Test architecture section added (§5). Phase 1 category status table added (§6). Constraints register added (§9) • RBAC read-leakage complete (§7a): 318 probes, no cross-persona data leakage, unauthenticated access refused on all 23 probes. Two new defects — S2 stack-trace disclosure, S3 inconsistent endpoint authorization … (full detail in the findings register)</t>
        </is>
      </c>
      <c r="E5" s="7" t="n">
        <v>49</v>
      </c>
      <c r="F5" s="7" t="inlineStr">
        <is>
          <t>—</t>
        </is>
      </c>
      <c r="G5" s="7" t="inlineStr">
        <is>
          <t>Engagement opened. No blockers.</t>
        </is>
      </c>
    </row>
    <row r="6">
      <c r="A6" s="7" t="inlineStr">
        <is>
          <t>2026-09-19</t>
        </is>
      </c>
      <c r="B6" s="7" t="inlineStr">
        <is>
          <t>Day 2</t>
        </is>
      </c>
      <c r="C6" s="7" t="inlineStr">
        <is>
          <t>Project foundation, architecture, scope, methodology • Phase 1 baseline, findings register, three graphs • Reachability figures replaced with single-run verified results (219/235, 93.2%; 16 persistent failures; 9 retries) superseding the earlier stitched 214/235. Shared-component defect cluster added (§7). PM reclassified from "awaiting credentials" to "deferred — under development" (§3, §9). SP notes corrected: approvals renders and is an API-contract defect, not a blank page. BrowserStack capacity constraint added with measured costings (§10.4). Test architecture section added (§5). Phase 1 category status table added (§6). Constraints register added (§9) • RBAC read-leakage complete (§7a): 318 probes, no cross-persona data leakage, unauthenticated access refused on all 23 probes. Two new defects — S2 stack-trace disclosure, S3 inconsistent endpoint authorization … (full detail in the findings register)</t>
        </is>
      </c>
      <c r="D6" s="7" t="inlineStr">
        <is>
          <t>Characterisation document issued for sign-off. Completeness audit of Phase 1 found two gaps in our own work: the unified sweep had dropped the uncaught-JavaScript-error assertion carried by the suite it replaced, and the self-verification suite was being collected by the main configuration. Both corrected. Two findings added from the audit: a developer test route in the deployed OC application, and coming-soon placeholders confirming some screens are intentionally incomplete. Findings register 38 -&gt; 40 • Full-coverage sweep complete: all 235 routes now carry reachability, asset-integrity and accessibility checks in a single 22-minute pass, replacing the earlier 13% samples. Root cause of the blank routes established — uncaught null dereferences on React Router navigation state — which corrects the earlier "wholly broken" classification and makes the fix specific … (full detail in the findings register)</t>
        </is>
      </c>
      <c r="E6" s="7" t="n">
        <v>49</v>
      </c>
      <c r="F6" s="7" t="inlineStr">
        <is>
          <t>—</t>
        </is>
      </c>
      <c r="G6" s="7" t="inlineStr">
        <is>
          <t>Characterisation document issued for sign-off — still unsigned as of today.</t>
        </is>
      </c>
    </row>
    <row r="7">
      <c r="A7" s="7" t="inlineStr">
        <is>
          <t>2026-09-20</t>
        </is>
      </c>
      <c r="B7" s="7" t="inlineStr">
        <is>
          <t>Day 3</t>
        </is>
      </c>
      <c r="C7" s="7" t="inlineStr">
        <is>
          <t>Characterisation document issued for sign-off. Completeness audit of Phase 1 found two gaps in our own work: the unified sweep had dropped the uncaught-JavaScript-error assertion carried by the suite it replaced, and the self-verification suite was being collected by the main configuration. Both corrected. Two findings added from the audit: a developer test route in the deployed OC application, and coming-soon placeholders confirming some screens are intentionally incomplete. Findings register 38 -&gt; 40 • Full-coverage sweep complete: all 235 routes now carry reachability, asset-integrity and accessibility checks in a single 22-minute pass, replacing the earlier 13% samples. Root cause of the blank routes established — uncaught null dereferences on React Router navigation state — which corrects the earlier "wholly broken" classification and makes the fix specific … (full detail in the findings register)</t>
        </is>
      </c>
      <c r="D7" s="7" t="inlineStr">
        <is>
          <t>Phase 2 opened (§13). Write-safety harness built and verified — self-verification 36 -&gt; 46 controls. Write surface analysed: 814 endpoint references across six applications, 106 distinct write candidates, 103 confirmed mutating across 21 objects. ~~Feasibility spike established that the platform runs fifteen applications, not eight; three are vendor-owned and absent.~~ *(corrected in 1.25: twelve installed, one vendor application absent.)* A correction made earlier in the day — that the backend was pure Frappe — was itself wrong and has been withdrawn; ERPNext 15.114.0 is installed. §11 next steps rewritten, having still listed completed Phase 1 work • Phase 2 feasibility spike succeeded. • Installed-application count corrected from fifteen to twelve, and the unobtainable set from three applications to one. • Environment drift eliminated and verified. • Phase 2 write testing began … (full detail in the findings register)</t>
        </is>
      </c>
      <c r="E7" s="7" t="n">
        <v>104</v>
      </c>
      <c r="F7" s="7" t="inlineStr">
        <is>
          <t>55</t>
        </is>
      </c>
      <c r="G7" s="7" t="inlineStr">
        <is>
          <t>Phase 2 feasibility spike succeeded; no client-provided environment needed.</t>
        </is>
      </c>
    </row>
    <row r="8">
      <c r="A8" s="7" t="inlineStr">
        <is>
          <t>2026-09-22</t>
        </is>
      </c>
      <c r="B8" s="7" t="inlineStr">
        <is>
          <t>Day 4</t>
        </is>
      </c>
      <c r="C8" s="7" t="inlineStr">
        <is>
          <t>Phase 2 opened (§13). Write-safety harness built and verified — self-verification 36 -&gt; 46 controls. Write surface analysed: 814 endpoint references across six applications, 106 distinct write candidates, 103 confirmed mutating across 21 objects. ~~Feasibility spike established that the platform runs fifteen applications, not eight; three are vendor-owned and absent.~~ *(corrected in 1.25: twelve installed, one vendor application absent.)* A correction made earlier in the day — that the backend was pure Frappe — was itself wrong and has been withdrawn; ERPNext 15.114.0 is installed. §11 next steps rewritten, having still listed completed Phase 1 work • Phase 2 feasibility spike succeeded. • Installed-application count corrected from fifteen to twelve, and the unobtainable set from three applications to one. • Environment drift eliminated and verified. • Phase 2 write testing began … (full detail in the findings register)</t>
        </is>
      </c>
      <c r="D8" s="7" t="inlineStr">
        <is>
          <t>Security coverage completed against the OWASP API Security Top 10, and the severity scale aligned to ISTQB. • The four remaining coverage gaps closed: cross-origin policy, mass assignment, boundary values and state transitions. • Findings given stable identifiers and priorities, and a verification suite added. • The fifteen characterisation decisions re-examined; five answered from the code and data, six narrowed, four left as genuinely the client's. • Two of the four "client only" decisions answered by investigating rather than asking; the genuine count is two. • Characterisation document restructured so its real ask is visible, and the sign-off corrected. • Documents restructured to put the action first.</t>
        </is>
      </c>
      <c r="E8" s="7" t="n">
        <v>119</v>
      </c>
      <c r="F8" s="7" t="inlineStr">
        <is>
          <t>15</t>
        </is>
      </c>
      <c r="G8" s="7" t="inlineStr">
        <is>
          <t>Severity scale aligned to ISTQB. Register totals here include the re-triage, not only new finds.</t>
        </is>
      </c>
    </row>
    <row r="9">
      <c r="A9" s="7" t="inlineStr">
        <is>
          <t>2026-09-25</t>
        </is>
      </c>
      <c r="B9" s="7" t="inlineStr">
        <is>
          <t>Day 5</t>
        </is>
      </c>
      <c r="C9" s="7" t="inlineStr">
        <is>
          <t>Security coverage completed against the OWASP API Security Top 10, and the severity scale aligned to ISTQB. • The four remaining coverage gaps closed: cross-origin policy, mass assignment, boundary values and state transitions. • Findings given stable identifiers and priorities, and a verification suite added. • The fifteen characterisation decisions re-examined; five answered from the code and data, six narrowed, four left as genuinely the client's. • Two of the four "client only" decisions answered by investigating rather than asking; the genuine count is two. • Characterisation document restructured so its real ask is visible, and the sign-off corrected. • Documents restructured to put the action first.</t>
        </is>
      </c>
      <c r="D9" s="7" t="inlineStr">
        <is>
          <t>Every client-facing document corrected and re-dated, the client already holding the repository. • Repository found public and made private; mass-assignment analysis corrected; verification extended to every P1; permission model drafted.</t>
        </is>
      </c>
      <c r="E9" s="7" t="n">
        <v>119</v>
      </c>
      <c r="F9" s="7" t="inlineStr">
        <is>
          <t>0</t>
        </is>
      </c>
      <c r="G9" s="7" t="inlineStr">
        <is>
          <t>Repository found publicly readable and set private. No new defects raised.</t>
        </is>
      </c>
    </row>
    <row r="10">
      <c r="A10" s="7" t="inlineStr">
        <is>
          <t>2026-10-04</t>
        </is>
      </c>
      <c r="B10" s="7" t="inlineStr">
        <is>
          <t>Day 6</t>
        </is>
      </c>
      <c r="C10" s="7" t="inlineStr">
        <is>
          <t>Every client-facing document corrected and re-dated, the client already holding the repository. • Repository found public and made private; mass-assignment analysis corrected; verification extended to every P1; permission model drafted.</t>
        </is>
      </c>
      <c r="D10" s="7" t="inlineStr">
        <is>
          <t>Defect tracker produced in the format the client asked for, and the repository found public a second time.</t>
        </is>
      </c>
      <c r="E10" s="7" t="inlineStr"/>
      <c r="F10" s="7" t="inlineStr"/>
      <c r="G10" s="7" t="inlineStr"/>
    </row>
    <row r="11">
      <c r="A11" s="9" t="inlineStr">
        <is>
          <t>2026-10-04</t>
        </is>
      </c>
      <c r="B11" s="9" t="inlineStr">
        <is>
          <t>Day 6</t>
        </is>
      </c>
      <c r="C11" s="9" t="inlineStr">
        <is>
          <t>Defect tracker produced in the format the client asked for, and the repository found public a second time.</t>
        </is>
      </c>
      <c r="D11" s="9" t="inlineStr">
        <is>
          <t>Defect tracker produced in the format requested. Repository found public a second time and set private again.</t>
        </is>
      </c>
      <c r="E11" s="9" t="n">
        <v>119</v>
      </c>
      <c r="F11" s="9" t="inlineStr">
        <is>
          <t>0</t>
        </is>
      </c>
      <c r="G11" s="9" t="inlineStr">
        <is>
          <t>Repository visibility changed back to public on 28 Sep; set private again today. Needs a cause.</t>
        </is>
      </c>
    </row>
    <row r="13">
      <c r="A13" s="14" t="inlineStr">
        <is>
          <t>Add one row per working day. The pale rows are yours to continue.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0" customWidth="1" min="1" max="1"/>
    <col width="14" customWidth="1" min="2" max="2"/>
    <col width="78" customWidth="1" min="3" max="3"/>
  </cols>
  <sheetData>
    <row r="1">
      <c r="A1" s="1" t="inlineStr">
        <is>
          <t>Summary</t>
        </is>
      </c>
    </row>
    <row r="2">
      <c r="A2" s="14" t="inlineStr">
        <is>
          <t>Every figure below is a formula reading the Bugs tab. Edit Bugs and these update.</t>
        </is>
      </c>
    </row>
    <row r="4">
      <c r="A4" s="4" t="inlineStr">
        <is>
          <t>By severity</t>
        </is>
      </c>
    </row>
    <row r="5">
      <c r="A5" s="15" t="inlineStr">
        <is>
          <t>Severity</t>
        </is>
      </c>
      <c r="B5" s="15" t="inlineStr">
        <is>
          <t>Count</t>
        </is>
      </c>
    </row>
    <row r="6">
      <c r="A6" s="2" t="inlineStr">
        <is>
          <t>S1 Blocker</t>
        </is>
      </c>
      <c r="B6" s="2">
        <f>COUNTIF(Bugs!$C$2:$C$88,"S1 Blocker")</f>
        <v/>
      </c>
    </row>
    <row r="7">
      <c r="A7" s="2" t="inlineStr">
        <is>
          <t>S2 Critical</t>
        </is>
      </c>
      <c r="B7" s="2">
        <f>COUNTIF(Bugs!$C$2:$C$88,"S2 Critical")</f>
        <v/>
      </c>
    </row>
    <row r="8">
      <c r="A8" s="2" t="inlineStr">
        <is>
          <t>S3 Major</t>
        </is>
      </c>
      <c r="B8" s="2">
        <f>COUNTIF(Bugs!$C$2:$C$88,"S3 Major")</f>
        <v/>
      </c>
    </row>
    <row r="9">
      <c r="A9" s="2" t="inlineStr">
        <is>
          <t>S4 Minor</t>
        </is>
      </c>
      <c r="B9" s="2">
        <f>COUNTIF(Bugs!$C$2:$C$88,"S4 Minor")</f>
        <v/>
      </c>
    </row>
    <row r="10">
      <c r="A10" s="4" t="inlineStr">
        <is>
          <t>Total</t>
        </is>
      </c>
      <c r="B10" s="4">
        <f>SUM(B6:B9)</f>
        <v/>
      </c>
    </row>
    <row r="12">
      <c r="A12" s="4" t="inlineStr">
        <is>
          <t>By priority</t>
        </is>
      </c>
    </row>
    <row r="13">
      <c r="A13" s="15" t="inlineStr">
        <is>
          <t>Priority</t>
        </is>
      </c>
      <c r="B13" s="15" t="inlineStr">
        <is>
          <t>Count</t>
        </is>
      </c>
    </row>
    <row r="14">
      <c r="A14" s="2" t="inlineStr">
        <is>
          <t>P1</t>
        </is>
      </c>
      <c r="B14" s="2">
        <f>COUNTIF(Bugs!$D$2:$D$88,"P1")</f>
        <v/>
      </c>
    </row>
    <row r="15">
      <c r="A15" s="2" t="inlineStr">
        <is>
          <t>P2</t>
        </is>
      </c>
      <c r="B15" s="2">
        <f>COUNTIF(Bugs!$D$2:$D$88,"P2")</f>
        <v/>
      </c>
    </row>
    <row r="16">
      <c r="A16" s="2" t="inlineStr">
        <is>
          <t>P3</t>
        </is>
      </c>
      <c r="B16" s="2">
        <f>COUNTIF(Bugs!$D$2:$D$88,"P3")</f>
        <v/>
      </c>
    </row>
    <row r="17">
      <c r="A17" s="2" t="inlineStr">
        <is>
          <t>P4</t>
        </is>
      </c>
      <c r="B17" s="2">
        <f>COUNTIF(Bugs!$D$2:$D$88,"P4")</f>
        <v/>
      </c>
    </row>
    <row r="18">
      <c r="A18" s="4" t="inlineStr">
        <is>
          <t>Total</t>
        </is>
      </c>
      <c r="B18" s="4">
        <f>SUM(B14:B17)</f>
        <v/>
      </c>
    </row>
    <row r="20">
      <c r="A20" s="4" t="inlineStr">
        <is>
          <t>By area</t>
        </is>
      </c>
    </row>
    <row r="21">
      <c r="A21" s="15" t="inlineStr">
        <is>
          <t>Area</t>
        </is>
      </c>
      <c r="B21" s="15" t="inlineStr">
        <is>
          <t>Count</t>
        </is>
      </c>
    </row>
    <row r="22">
      <c r="A22" s="2" t="inlineStr">
        <is>
          <t>API contract</t>
        </is>
      </c>
      <c r="B22" s="2">
        <f>COUNTIF(Bugs!$G$2:$G$88,"API contract")</f>
        <v/>
      </c>
    </row>
    <row r="23">
      <c r="A23" s="2" t="inlineStr">
        <is>
          <t>Accessibility</t>
        </is>
      </c>
      <c r="B23" s="2">
        <f>COUNTIF(Bugs!$G$2:$G$88,"Accessibility")</f>
        <v/>
      </c>
    </row>
    <row r="24">
      <c r="A24" s="2" t="inlineStr">
        <is>
          <t>Authentication / session</t>
        </is>
      </c>
      <c r="B24" s="2">
        <f>COUNTIF(Bugs!$G$2:$G$88,"Authentication / session")</f>
        <v/>
      </c>
    </row>
    <row r="25">
      <c r="A25" s="2" t="inlineStr">
        <is>
          <t>Authorisation</t>
        </is>
      </c>
      <c r="B25" s="2">
        <f>COUNTIF(Bugs!$G$2:$G$88,"Authorisation")</f>
        <v/>
      </c>
    </row>
    <row r="26">
      <c r="A26" s="2" t="inlineStr">
        <is>
          <t>Build hygiene</t>
        </is>
      </c>
      <c r="B26" s="2">
        <f>COUNTIF(Bugs!$G$2:$G$88,"Build hygiene")</f>
        <v/>
      </c>
    </row>
    <row r="27">
      <c r="A27" s="2" t="inlineStr">
        <is>
          <t>Data protection</t>
        </is>
      </c>
      <c r="B27" s="2">
        <f>COUNTIF(Bugs!$G$2:$G$88,"Data protection")</f>
        <v/>
      </c>
    </row>
    <row r="28">
      <c r="A28" s="2" t="inlineStr">
        <is>
          <t>Error handling</t>
        </is>
      </c>
      <c r="B28" s="2">
        <f>COUNTIF(Bugs!$G$2:$G$88,"Error handling")</f>
        <v/>
      </c>
    </row>
    <row r="29">
      <c r="A29" s="2" t="inlineStr">
        <is>
          <t>Frontend</t>
        </is>
      </c>
      <c r="B29" s="2">
        <f>COUNTIF(Bugs!$G$2:$G$88,"Frontend")</f>
        <v/>
      </c>
    </row>
    <row r="30">
      <c r="A30" s="2" t="inlineStr">
        <is>
          <t>Handover / configuration</t>
        </is>
      </c>
      <c r="B30" s="2">
        <f>COUNTIF(Bugs!$G$2:$G$88,"Handover / configuration")</f>
        <v/>
      </c>
    </row>
    <row r="31">
      <c r="A31" s="2" t="inlineStr">
        <is>
          <t>Input validation</t>
        </is>
      </c>
      <c r="B31" s="2">
        <f>COUNTIF(Bugs!$G$2:$G$88,"Input validation")</f>
        <v/>
      </c>
    </row>
    <row r="32">
      <c r="A32" s="2" t="inlineStr">
        <is>
          <t>Performance</t>
        </is>
      </c>
      <c r="B32" s="2">
        <f>COUNTIF(Bugs!$G$2:$G$88,"Performance")</f>
        <v/>
      </c>
    </row>
    <row r="33">
      <c r="A33" s="2" t="inlineStr">
        <is>
          <t>Security configuration</t>
        </is>
      </c>
      <c r="B33" s="2">
        <f>COUNTIF(Bugs!$G$2:$G$88,"Security configuration")</f>
        <v/>
      </c>
    </row>
    <row r="34">
      <c r="A34" s="2" t="inlineStr">
        <is>
          <t>Transactional integrity</t>
        </is>
      </c>
      <c r="B34" s="2">
        <f>COUNTIF(Bugs!$G$2:$G$88,"Transactional integrity")</f>
        <v/>
      </c>
    </row>
    <row r="35">
      <c r="A35" s="2" t="inlineStr">
        <is>
          <t>Workflow / state</t>
        </is>
      </c>
      <c r="B35" s="2">
        <f>COUNTIF(Bugs!$G$2:$G$88,"Workflow / state")</f>
        <v/>
      </c>
    </row>
    <row r="36">
      <c r="A36" s="4" t="inlineStr">
        <is>
          <t>Total</t>
        </is>
      </c>
      <c r="B36" s="4">
        <f>SUM(B22:B35)</f>
        <v/>
      </c>
    </row>
    <row r="38">
      <c r="A38" s="4" t="inlineStr">
        <is>
          <t>By status</t>
        </is>
      </c>
    </row>
    <row r="39">
      <c r="A39" s="15" t="inlineStr">
        <is>
          <t>Status</t>
        </is>
      </c>
      <c r="B39" s="15" t="inlineStr">
        <is>
          <t>Count</t>
        </is>
      </c>
    </row>
    <row r="40">
      <c r="A40" s="2" t="inlineStr">
        <is>
          <t>Open</t>
        </is>
      </c>
      <c r="B40" s="2">
        <f>COUNTIF(Bugs!$R$2:$R$88,"Open")</f>
        <v/>
      </c>
    </row>
    <row r="41">
      <c r="A41" s="2" t="inlineStr">
        <is>
          <t>In Progress</t>
        </is>
      </c>
      <c r="B41" s="2">
        <f>COUNTIF(Bugs!$R$2:$R$88,"In Progress")</f>
        <v/>
      </c>
    </row>
    <row r="42">
      <c r="A42" s="2" t="inlineStr">
        <is>
          <t>Fixed</t>
        </is>
      </c>
      <c r="B42" s="2">
        <f>COUNTIF(Bugs!$R$2:$R$88,"Fixed")</f>
        <v/>
      </c>
    </row>
    <row r="43">
      <c r="A43" s="2" t="inlineStr">
        <is>
          <t>Re-test</t>
        </is>
      </c>
      <c r="B43" s="2">
        <f>COUNTIF(Bugs!$R$2:$R$88,"Re-test")</f>
        <v/>
      </c>
    </row>
    <row r="44">
      <c r="A44" s="2" t="inlineStr">
        <is>
          <t>Closed</t>
        </is>
      </c>
      <c r="B44" s="2">
        <f>COUNTIF(Bugs!$R$2:$R$88,"Closed")</f>
        <v/>
      </c>
    </row>
    <row r="45">
      <c r="A45" s="2" t="inlineStr">
        <is>
          <t>Deferred</t>
        </is>
      </c>
      <c r="B45" s="2">
        <f>COUNTIF(Bugs!$R$2:$R$88,"Deferred")</f>
        <v/>
      </c>
    </row>
    <row r="46">
      <c r="A46" s="4" t="inlineStr">
        <is>
          <t>Total</t>
        </is>
      </c>
      <c r="B46" s="4">
        <f>SUM(B40:B45)</f>
        <v/>
      </c>
    </row>
    <row r="48">
      <c r="A48" s="4" t="inlineStr">
        <is>
          <t>Fix these four first — minutes of work each</t>
        </is>
      </c>
    </row>
    <row r="49">
      <c r="A49" s="4" t="inlineStr">
        <is>
          <t>WC-088</t>
        </is>
      </c>
      <c r="B49" s="2">
        <f>IFERROR(INDEX(Bugs!$R$2:$R$88,MATCH("WC-088",Bugs!$A$2:$A$88,0)),"not found")</f>
        <v/>
      </c>
      <c r="C49" s="3" t="inlineStr">
        <is>
          <t>One-word typo breaking Enquiry Form status changes. Two sites, not one.</t>
        </is>
      </c>
    </row>
    <row r="50">
      <c r="A50" s="4" t="inlineStr">
        <is>
          <t>WC-068</t>
        </is>
      </c>
      <c r="B50" s="2">
        <f>IFERROR(INDEX(Bugs!$R$2:$R$88,MATCH("WC-068",Bugs!$A$2:$A$88,0)),"not found")</f>
        <v/>
      </c>
      <c r="C50" s="3" t="inlineStr">
        <is>
          <t>Remove allow_guest from three endpoints publishing the full API specification.</t>
        </is>
      </c>
    </row>
    <row r="51">
      <c r="A51" s="4" t="inlineStr">
        <is>
          <t>WC-023</t>
        </is>
      </c>
      <c r="B51" s="2">
        <f>IFERROR(INDEX(Bugs!$R$2:$R$88,MATCH("WC-023",Bugs!$A$2:$A$88,0)),"not found")</f>
        <v/>
      </c>
      <c r="C51" s="3" t="inlineStr">
        <is>
          <t>Stop returning Python stack traces to callers.</t>
        </is>
      </c>
    </row>
    <row r="52">
      <c r="A52" s="4" t="inlineStr">
        <is>
          <t>WC-121</t>
        </is>
      </c>
      <c r="B52" s="2">
        <f>IFERROR(INDEX(Bugs!$R$2:$R$88,MATCH("WC-121",Bugs!$A$2:$A$88,0)),"not found")</f>
        <v/>
      </c>
      <c r="C52" s="3" t="inlineStr">
        <is>
          <t>Replace the CORS wildcard with the two frontend origins.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11" customWidth="1" min="1" max="1"/>
    <col width="64" customWidth="1" min="2" max="2"/>
    <col width="32" customWidth="1" min="3" max="3"/>
    <col width="108" customWidth="1" min="4" max="4"/>
  </cols>
  <sheetData>
    <row r="1">
      <c r="A1" s="1" t="inlineStr">
        <is>
          <t>Informational records — not defects</t>
        </is>
      </c>
    </row>
    <row r="2">
      <c r="A2" s="14" t="inlineStr">
        <is>
          <t>Context we recorded during testing. Kept off the Bugs tab so they do not inflate the defect count.</t>
        </is>
      </c>
    </row>
    <row r="4">
      <c r="A4" s="5" t="inlineStr">
        <is>
          <t>ID</t>
        </is>
      </c>
      <c r="B4" s="5" t="inlineStr">
        <is>
          <t>Observation</t>
        </is>
      </c>
      <c r="C4" s="5" t="inlineStr">
        <is>
          <t>How Established</t>
        </is>
      </c>
      <c r="D4" s="5" t="inlineStr">
        <is>
          <t>Detail</t>
        </is>
      </c>
    </row>
    <row r="5">
      <c r="A5" s="6" t="inlineStr">
        <is>
          <t>WC-012</t>
        </is>
      </c>
      <c r="B5" s="7" t="inlineStr">
        <is>
          <t>FC route inventory: ~60 routes, only 4 in sidebar nav</t>
        </is>
      </c>
      <c r="C5" s="7" t="inlineStr">
        <is>
          <t>Not recorded</t>
        </is>
      </c>
      <c r="D5" s="7" t="inlineStr">
        <is>
          <t>Source: src/routes.js. ~56 routes are deep-link only (not surfaced in navigation). Impact on QA: clicking the UI would have found ~7% of screens. Hidden routes (e.g. /fc/batch-finish/remarks, /fc/job-application-edit, /fc/view-form-b) are prime spots for missing auth/validation. These become the test target list.</t>
        </is>
      </c>
    </row>
    <row r="6">
      <c r="A6" s="6" t="inlineStr">
        <is>
          <t>WC-015</t>
        </is>
      </c>
      <c r="B6" s="7" t="inlineStr">
        <is>
          <t>PM (Placement Manager) deferred: still under development</t>
        </is>
      </c>
      <c r="C6" s="7" t="inlineStr">
        <is>
          <t>RESOLVED — scope decision</t>
        </is>
      </c>
      <c r="D6" s="7" t="inlineStr">
        <is>
          <t>Status: the client confirmed PM is still being built. Excluded from QA scope by agreement rather than blocked on a credential. Testing an in-flight build produces findings that are obsolete before they are read. Re-entry condition: client declares PM feature-complete -&gt; request a login, run the same Phase 1 categories against its 46 routes. Route inventory is already captured in data/routes/pm.json, so restarting costs nothing.</t>
        </is>
      </c>
    </row>
    <row r="7">
      <c r="A7" s="6" t="inlineStr">
        <is>
          <t>WC-021</t>
        </is>
      </c>
      <c r="B7" s="7" t="inlineStr">
        <is>
          <t>OC persona served at /oc/ (not root)</t>
        </is>
      </c>
      <c r="C7" s="7" t="inlineStr">
        <is>
          <t>Not recorded</t>
        </is>
      </c>
      <c r="D7" s="7" t="inlineStr">
        <is>
          <t>Correction to earlier assumption. OC app renders fine at /oc/. Earlier "OC broken" was a test-harness prefix error, now fixed. OC's empty role_profile (F13) does not block the app.</t>
        </is>
      </c>
    </row>
    <row r="8">
      <c r="A8" s="6" t="inlineStr">
        <is>
          <t>WC-022</t>
        </is>
      </c>
      <c r="B8" s="7" t="inlineStr">
        <is>
          <t>Clean smoke baseline (workers=3, retry=1), pre-OC-fix</t>
        </is>
      </c>
      <c r="C8" s="7" t="inlineStr">
        <is>
          <t>Not recorded</t>
        </is>
      </c>
      <c r="D8" s="7" t="inlineStr">
        <is>
          <t>CH 22/22 pass · SM 40/40 pass · SP 25/27 · SYC 44/50 · FC 43/56 · OC (re-running at /oc/) --- # Phase 1 category 2 — RBAC read-leakage (2026-09-18)</t>
        </is>
      </c>
    </row>
    <row r="9">
      <c r="A9" s="6" t="inlineStr">
        <is>
          <t>WC-026</t>
        </is>
      </c>
      <c r="B9" s="7" t="inlineStr">
        <is>
          <t>8 of 67 role-exclusive endpoints fail for their own persona</t>
        </is>
      </c>
      <c r="C9" s="7" t="inlineStr">
        <is>
          <t>Not recorded</t>
        </is>
      </c>
      <c r="D9" s="7" t="inlineStr">
        <is>
          <t>Existing defects surfaced by the control baseline; they are excluded from the access verdict because a broken endpoint cannot demonstrate anything about permissions. Overlaps the 500/404 findings already recorded. --- # Phase 1 category 4 — Accessibility baseline (2026-09-18)</t>
        </is>
      </c>
    </row>
    <row r="10">
      <c r="A10" s="6" t="inlineStr">
        <is>
          <t>WC-029</t>
        </is>
      </c>
      <c r="B10" s="7" t="inlineStr">
        <is>
          <t>Accessibility coverage is partial by nature</t>
        </is>
      </c>
      <c r="C10" s="7" t="inlineStr">
        <is>
          <t>METHOD NOTE</t>
        </is>
      </c>
      <c r="D10" s="7" t="inlineStr">
        <is>
          <t>axe-core detects roughly 30–40% of WCAG issues. Everything above is a genuine defect, but a clean axe run would not mean the platform is accessible. Keyboard traversal, focus order, screen-reader semantics and colour-in-context still require a manual pass, which is not in the current scope. This is stated so the baseline is not read as full accessibility assurance. Gate policy: the suite fails on critical only; serious/moderate/minor are recorded as a prioritised backlog. A suite that fails on every severity from day one gets ignored, and an ignored suite protects nothing.</t>
        </is>
      </c>
    </row>
    <row r="11">
      <c r="A11" s="6" t="inlineStr">
        <is>
          <t>WC-034</t>
        </is>
      </c>
      <c r="B11" s="7" t="inlineStr">
        <is>
          <t>Blank routes classified: 14 wholly broken, 2 not reproducing</t>
        </is>
      </c>
      <c r="C11" s="7" t="inlineStr">
        <is>
          <t>Verified</t>
        </is>
      </c>
      <c r="D11" s="7" t="inlineStr">
        <is>
          <t>Method: each of the 16 persistent failures was loaded directly, then reached again by client-side navigation from the working application root (history.pushState + popstate, which is what a React Router link does). Result: 14 render nothing by either path. These are broken screens, not deep-link defects — which simplifies the remediation: there is no router-state subtlety to chase.</t>
        </is>
      </c>
    </row>
    <row r="12">
      <c r="A12" s="6" t="inlineStr">
        <is>
          <t>WC-036</t>
        </is>
      </c>
      <c r="B12" s="7" t="inlineStr">
        <is>
          <t>batch_list flagged but not an unambiguous violation</t>
        </is>
      </c>
      <c r="C12" s="7" t="inlineStr">
        <is>
          <t>Verified</t>
        </is>
      </c>
      <c r="D12" s="7" t="inlineStr">
        <is>
          <t>Batch records carry a training_centers[] array, and CH and SYC see entries naming centres outside their permitted list. However, zero batch records were wholly outside scope — every one included at least one centre the caller is permitted for. A batch spanning several centres legitimately names all of them. Recorded as characterisation, not a defect. Confirming intent is a question for the client.</t>
        </is>
      </c>
    </row>
    <row r="13">
      <c r="A13" s="6" t="inlineStr">
        <is>
          <t>WC-037</t>
        </is>
      </c>
      <c r="B13" s="7" t="inlineStr">
        <is>
          <t>utils.get_training_center_list returns the full centre list to every persona</t>
        </is>
      </c>
      <c r="C13" s="7" t="inlineStr">
        <is>
          <t>Verified</t>
        </is>
      </c>
      <c r="D13" s="7" t="inlineStr">
        <is>
          <t>The response is a reference list of centre names. A picker, not records. FC sees 5 centres beyond its permitted set, CH sees 8. Not a record disclosure. It does expose the organisation's centre structure to every account, so it is recorded for the client to confirm as intended.</t>
        </is>
      </c>
    </row>
    <row r="14">
      <c r="A14" s="6" t="inlineStr">
        <is>
          <t>WC-042</t>
        </is>
      </c>
      <c r="B14" s="7" t="inlineStr">
        <is>
          <t>Four applications ship coming-soon placeholder screens</t>
        </is>
      </c>
      <c r="C14" s="7" t="inlineStr">
        <is>
          <t>Verified</t>
        </is>
      </c>
      <c r="D14" s="7" t="inlineStr">
        <is>
          <t>Where: SP, SYC, SM and OC each define a coming-soon route. Why it is recorded: it establishes that some screens are intentionally incomplete. This bears directly on the sixteen blank routes: a subset may be unbuilt features rather than defects. Resolving which is a client decision, raised as item 10.1 in the characterisation document.</t>
        </is>
      </c>
    </row>
    <row r="15">
      <c r="A15" s="6" t="inlineStr">
        <is>
          <t>WC-045</t>
        </is>
      </c>
      <c r="B15" s="7" t="inlineStr">
        <is>
          <t>Accessibility at full coverage: the shared-component pattern confirmed at scale</t>
        </is>
      </c>
      <c r="C15" s="7" t="inlineStr">
        <is>
          <t>Not recorded</t>
        </is>
      </c>
      <c r="D15" s="7" t="inlineStr">
        <is>
          <t>182 of 235 routes carry violations; 3,593 elements in total. Four rules fire on every single affected route (182/182): aria-allowed-attr (808 elements), image-alt (428), listitem (1,452), list (182). Sampling 30 routes suggested this pattern; full coverage confirms it exactly. These are one shared navigation component repeated across every screen of every application.</t>
        </is>
      </c>
    </row>
    <row r="16">
      <c r="A16" s="6" t="inlineStr">
        <is>
          <t>WC-046</t>
        </is>
      </c>
      <c r="B16" s="7" t="inlineStr">
        <is>
          <t>Asset integrity at full coverage: clean</t>
        </is>
      </c>
      <c r="C16" s="7" t="inlineStr">
        <is>
          <t>Verified — clean result</t>
        </is>
      </c>
      <c r="D16" s="7" t="inlineStr">
        <is>
          <t>2,157 asset requests across all 235 routes. Zero failures. No missing assets, no unbundled source paths. The earlier clean result on a 33-route sample holds across the full inventory.</t>
        </is>
      </c>
    </row>
    <row r="17">
      <c r="A17" s="6" t="inlineStr">
        <is>
          <t>WC-049</t>
        </is>
      </c>
      <c r="B17" s="7" t="inlineStr">
        <is>
          <t>Route classification resolved by repeated execution</t>
        </is>
      </c>
      <c r="C17" s="7" t="inlineStr">
        <is>
          <t>METHOD + RESULT</t>
        </is>
      </c>
      <c r="D17" s="7" t="inlineStr">
        <is>
          <t>Method: the full 235-route sweep executed three consecutive times. A route is judged on how it behaves across all three, not on any single run, because a platform that fails intermittently cannot be characterised by one observation. - Measured instability: 3.0% of routes behaved inconsistently across the three executions at three concurrent sessions. That figure describes the platform, not the suite.</t>
        </is>
      </c>
    </row>
    <row r="18">
      <c r="A18" s="6" t="inlineStr">
        <is>
          <t>WC-050</t>
        </is>
      </c>
      <c r="B18" s="7" t="inlineStr">
        <is>
          <t>Two defects we had recorded were disproved by repeated execution</t>
        </is>
      </c>
      <c r="C18" s="7" t="inlineStr">
        <is>
          <t>CORRECTION</t>
        </is>
      </c>
      <c r="D18" s="7" t="inlineStr">
        <is>
          <t>/fc/daily-activity was added to the known-defect registry on the strength of a single sweep. Across three consecutive executions it rendered every time. It was one flake, recorded as a defect. Removed. /all-notifications was identified after two cycles as an unrecorded defect. The third cycle showed it rendering; single-session runs confirmed it. Classified environmental, not a defect.</t>
        </is>
      </c>
    </row>
    <row r="19">
      <c r="A19" s="6" t="inlineStr">
        <is>
          <t>WC-051</t>
        </is>
      </c>
      <c r="B19" s="7" t="inlineStr">
        <is>
          <t>The known-defect registry now matches the evidence exactly</t>
        </is>
      </c>
      <c r="C19" s="7" t="inlineStr">
        <is>
          <t>Verified</t>
        </is>
      </c>
      <c r="D19" s="7" t="inlineStr">
        <is>
          <t>Every one of the 14 registered blank routes is blank in all three executions, and every route blank in all three executions is registered. Verified programmatically, not by inspection.</t>
        </is>
      </c>
    </row>
    <row r="20">
      <c r="A20" s="6" t="inlineStr">
        <is>
          <t>WC-052</t>
        </is>
      </c>
      <c r="B20" s="7" t="inlineStr">
        <is>
          <t>Invoice write-on-load reproduced across three consecutive executions</t>
        </is>
      </c>
      <c r="C20" s="7" t="inlineStr">
        <is>
          <t>Verified</t>
        </is>
      </c>
      <c r="D20" s="7" t="inlineStr">
        <is>
          <t>The two invoice preparation routes were asserted to attempt exactly the registered prepare_tax_invoice POST on load. Those assertions passed in all three cycles, meaning the write was attempted every time and no *additional* mutating request occurred. The finding is therefore reproducible, and its scope is bounded: one endpoint, two routes, no other writes anywhere in 235 routes × 3 executions.</t>
        </is>
      </c>
    </row>
    <row r="21">
      <c r="A21" s="6" t="inlineStr">
        <is>
          <t>WC-053</t>
        </is>
      </c>
      <c r="B21" s="7" t="inlineStr">
        <is>
          <t>Unauthenticated access: complete rather than sampled</t>
        </is>
      </c>
      <c r="C21" s="7" t="inlineStr">
        <is>
          <t>Verified — clean result</t>
        </is>
      </c>
      <c r="D21" s="7" t="inlineStr">
        <is>
          <t>Earlier the claim rested on 23 probes. All 71 distinct endpoints observed in use were then probed with no credential: every one returned 403, none served data. The claim "no observed endpoint serves data to an unauthenticated caller" is now complete across the observed endpoint set, rather than inferred from a sample.</t>
        </is>
      </c>
    </row>
    <row r="22">
      <c r="A22" s="6" t="inlineStr">
        <is>
          <t>WC-054</t>
        </is>
      </c>
      <c r="B22" s="7" t="inlineStr">
        <is>
          <t>Dynamic-route coverage completed: 17 of 17, no client input required</t>
        </is>
      </c>
      <c r="C22" s="7" t="inlineStr">
        <is>
          <t>Verified</t>
        </is>
      </c>
      <c r="D22" s="7" t="inlineStr">
        <is>
          <t>The earlier coverage gap was self-inflicted, not a client dependency. Six routes were recorded as blocked pending sample values for :category, :invoiceId and :preEnquiryId. All three were obtainable from the platform: - Why it was missed: the endpoint inventory is built from six sampled routes per persona, so screens never sampled — invoicing, the pre-enquiry list — contributed no endpoints, and their identifiers looked unobtainable when they were merely unvisited. The first harvest also ran while sessions were being rotated by a concurrent suite, which produced 401s that read as access failures. Neither was re-tested after the session handling was fixed.</t>
        </is>
      </c>
    </row>
    <row r="23">
      <c r="A23" s="6" t="inlineStr">
        <is>
          <t>WC-057</t>
        </is>
      </c>
      <c r="B23" s="7" t="inlineStr">
        <is>
          <t>Spike VERDICT: a drift-free isolated environment is built and verified</t>
        </is>
      </c>
      <c r="C23" s="7" t="inlineStr">
        <is>
          <t>Verified</t>
        </is>
      </c>
      <c r="D23" s="7" t="inlineStr">
        <is>
          <t>No inter-application dependencies. Every required_apps declaration is commented out, so the eight applications install independently of one another. Minimal external dependencies. Only outreach declares any: indiapins, gspread, google-auth — all standard packages. The Google dependencies suggest a Sheets integration that may need credentials at runtime, relevant only to that feature.</t>
        </is>
      </c>
    </row>
    <row r="24">
      <c r="A24" s="6" t="inlineStr">
        <is>
          <t>WC-060</t>
        </is>
      </c>
      <c r="B24" s="7" t="inlineStr">
        <is>
          <t>Employee is provided by ERPNext, resolving the earlier gap</t>
        </is>
      </c>
      <c r="C24" s="7" t="inlineStr">
        <is>
          <t>Verified</t>
        </is>
      </c>
      <c r="D24" s="7" t="inlineStr">
        <is>
          <t>The authentication service queries an Employee doctype that none of the eight WeConnect applications defines. It is supplied by ERPNext, in its Setup module — confirmed on an installed instance by querying the doctype's owning module, not inferred. Frappe HR is not installed on the client's platform, so the HR-EMP- identifier series comes from ERPNext's own naming configuration rather than from Frappe HR. An earlier note attributing it to Frappe HR was written before the installed-application list was read properly.</t>
        </is>
      </c>
    </row>
    <row r="25">
      <c r="A25" s="6" t="inlineStr">
        <is>
          <t>WC-061</t>
        </is>
      </c>
      <c r="B25" s="7" t="inlineStr">
        <is>
          <t>Schema metadata is not readable by persona accounts</t>
        </is>
      </c>
      <c r="C25" s="7" t="inlineStr">
        <is>
          <t>Verified — clean result</t>
        </is>
      </c>
      <c r="D25" s="7" t="inlineStr">
        <is>
          <t>Check: requested DocType metadata for 16 framework doctypes using the Skilling Manager account, both through frappe.client.get_list and the REST resource endpoint. Result: 403 Permission Denied on every one. An ordinary user cannot enumerate the schema, which is correct behaviour and the desired posture.</t>
        </is>
      </c>
    </row>
    <row r="26">
      <c r="A26" s="6" t="inlineStr">
        <is>
          <t>WC-064</t>
        </is>
      </c>
      <c r="B26" s="7" t="inlineStr">
        <is>
          <t>The login endpoint returns api_key: null on a repeat login</t>
        </is>
      </c>
      <c r="C26" s="7" t="inlineStr">
        <is>
          <t>Verified — reproducible in isolation</t>
        </is>
      </c>
      <c r="D26" s="7" t="inlineStr">
        <is>
          <t>Observed: on a first login for an account, authentication.api.auth.login returns both api_key and api_secret. On a subsequent login for the same account it returned api_key: null with api_secret still populated. Why it matters to us: any caller that re-authenticates and stores the returned pair will write a null key. This is adjacent to the session-rotation defect already recorded, where blind re-authentication rotated api_secret and invalidated in-flight sessions. Both point at the same underlying design: credential issue is stateful and a repeat login is not idempotent.</t>
        </is>
      </c>
    </row>
    <row r="27">
      <c r="A27" s="6" t="inlineStr">
        <is>
          <t>WC-066</t>
        </is>
      </c>
      <c r="B27" s="7" t="inlineStr">
        <is>
          <t>Measured data cardinality on the platform</t>
        </is>
      </c>
      <c r="C27" s="7" t="inlineStr">
        <is>
          <t>Verified — no values recorded</t>
        </is>
      </c>
      <c r="D27" s="7" t="inlineStr">
        <is>
          <t>Taken to size the Phase 2 synthetic dataset, using GET requests only, recording counts and structure but never field values. The resulting file contains zero record identifiers. - Why it matters to the engagement: a lifecycle test against one empty record is not the test the client needs. The synthetic dataset is scaled from these figures — roughly an order of magnitude smaller, preserving ratios and keeping list pagination (20 per page) exercised.</t>
        </is>
      </c>
    </row>
    <row r="28">
      <c r="A28" s="6" t="inlineStr">
        <is>
          <t>WC-067</t>
        </is>
      </c>
      <c r="B28" s="7" t="inlineStr">
        <is>
          <t>The API envelope is non-standard, and has now caused two defects in our own tooling</t>
        </is>
      </c>
      <c r="C28" s="7" t="inlineStr">
        <is>
          <t>Verified</t>
        </is>
      </c>
      <c r="D28" s="7" t="inlineStr">
        <is>
          <t>The platform does not use Frappe's {"message": &lt;payload&gt;} convention. It returns its own envelope at the top level: json {"success_key": 1, "message": "Fetched Counselling successfully!", "data": [...], "count": 20, "total_pages": 41, "total_data_count": 810}.</t>
        </is>
      </c>
    </row>
    <row r="29">
      <c r="A29" s="6" t="inlineStr">
        <is>
          <t>WC-070</t>
        </is>
      </c>
      <c r="B29" s="7" t="inlineStr">
        <is>
          <t>Authorisation is implemented per endpoint, not enforced by the framework</t>
        </is>
      </c>
      <c r="C29" s="7" t="inlineStr">
        <is>
          <t>Verified</t>
        </is>
      </c>
      <c r="D29" s="7" t="inlineStr">
        <is>
          <t>Authorisation is by User Permission on Lighthouse Centre, resolved at login into permitted_centres, with endpoints filtering against it. Frappe's role-permission system is not doing this work. Every doctype-level rule in source grants System Manager only. This is the root-cause class of the S1. Where scope enforcement is a filter each endpoint must remember to apply, rather than a property the framework guarantees, a missing filter is not an anomaly. It is the expected failure mode. It also explains why sibling endpoints behave correctly while one does not: they are independent implementations, not a shared guarantee.</t>
        </is>
      </c>
    </row>
    <row r="30">
      <c r="A30" s="6" t="inlineStr">
        <is>
          <t>WC-075</t>
        </is>
      </c>
      <c r="B30" s="7" t="inlineStr">
        <is>
          <t>Write-side permission boundaries hold for Task</t>
        </is>
      </c>
      <c r="C30" s="7" t="inlineStr">
        <is>
          <t>Verified — clean result</t>
        </is>
      </c>
      <c r="D30" s="7" t="inlineStr">
        <is>
          <t>Probed on the isolated instance across all six fully-disjoint persona pairs, for two operations — edit (update_task) and state change (update_task_status): Why this clean result means something. Every probe carries two controls, because a refusal proves nothing on its own. An endpoint that is simply broken refuses everyone and reads as perfect access control:</t>
        </is>
      </c>
    </row>
    <row r="31">
      <c r="A31" s="6" t="inlineStr">
        <is>
          <t>WC-081</t>
        </is>
      </c>
      <c r="B31" s="7" t="inlineStr">
        <is>
          <t>Framework-level centre scoping works; the risk is application-level bypass</t>
        </is>
      </c>
      <c r="C31" s="7" t="inlineStr">
        <is>
          <t>Verified — runtime, corrects a query-method error</t>
        </is>
      </c>
      <c r="D31" s="7" t="inlineStr">
        <is>
          <t>Established on the isolated instance: Frappe's User Permission restriction on Lighthouse Centre correctly scopes centre-linked records. A persona permitted for one centre, queried through the permission-respecting API (get_list), sees only that centre's records; a cross-centre write through the ordinary .save() path is refused with PermissionError. A method error was caught before it became a false finding. An initial check used frappe.get_all, which bypasses permissions by design, and appeared to show a persona seeing all six centres' youth. Re-run with frappe.get_list (which enforces permissions) showed the correct scoping — 8 of 8 own-centre youth, none other … (full detail in the findings register)</t>
        </is>
      </c>
    </row>
    <row r="32">
      <c r="A32" s="6" t="inlineStr">
        <is>
          <t>WC-082</t>
        </is>
      </c>
      <c r="B32" s="7" t="inlineStr">
        <is>
          <t>update_youth_status cross-centre boundary holds</t>
        </is>
      </c>
      <c r="C32" s="7" t="inlineStr">
        <is>
          <t>Verified — runtime, clean result</t>
        </is>
      </c>
      <c r="D32" s="7" t="inlineStr">
        <is>
          <t>Tested on a disjoint pair: sp (East/West) attempted to change the status of a youth owned by North via youth_skilling.api.actions.update_youth_status. Result: refused, PermissionError, youth status unchanged. Notable because the source looked unsafe: it performs a global has_permission("Youth","write") and then a get_doc with no centre check. The protection comes from youth_doc.save() re-applying User Permissions. This is the pattern the 30 truly-bypassed endpoints break by passing ignore_permissions=True to that same save.</t>
        </is>
      </c>
    </row>
    <row r="33">
      <c r="A33" s="6" t="inlineStr">
        <is>
          <t>WC-083</t>
        </is>
      </c>
      <c r="B33" s="7" t="inlineStr">
        <is>
          <t>Lifecycle coverage: create/read/update/state-change verified; no object exposes delete</t>
        </is>
      </c>
      <c r="C33" s="7" t="inlineStr">
        <is>
          <t>Verified — runtime</t>
        </is>
      </c>
      <c r="D33" s="7" t="inlineStr">
        <is>
          <t>Verified end-to-end on the isolated instance, as the owning persona through the API: 8 objects tested. Create passes on 7 of 8 (Community Visit blocked on approval-workflow config). Read passes on all 7 created. Update passes on 6 of 7. The state-change column shows the richest picture: 2 clean passes, 1 confirmed defect (Enquiry Form typo), and a cluster of API-context 403s recorded separately as a reproducible discrepancy under investigation.</t>
        </is>
      </c>
    </row>
    <row r="34">
      <c r="A34" s="6" t="inlineStr">
        <is>
          <t>WC-086</t>
        </is>
      </c>
      <c r="B34" s="7" t="inlineStr">
        <is>
          <t>Skilling Invoice creation via ORM hit an unresolved SQL error</t>
        </is>
      </c>
      <c r="C34" s="7" t="inlineStr">
        <is>
          <t>OBSERVED — not root-caused</t>
        </is>
      </c>
      <c r="D34" s="7" t="inlineStr">
        <is>
          <t>Creating a Skilling Invoice directly (to fixture the financial-endpoint test) failed with pymysql OperationalError (1054): Unknown column 'skilling_batch' in 'WHERE', raised from within the invoice's own save path. The column skilling_batch exists on Skilling Assessment Submission (verified), so the failing query references it on a different table that lacks it — not located. Recorded as an observation, not a defect. It may be that a synthetic invoice missing fields a real creation flow sets provokes a query with a bad value, rather than a universal bug. Invoices clearly exist in production, so the normal creation path works; ours did not, and the difference was not pursued to root cause … (full detail in the findings register)</t>
        </is>
      </c>
    </row>
    <row r="35">
      <c r="A35" s="6" t="inlineStr">
        <is>
          <t>WC-090</t>
        </is>
      </c>
      <c r="B35" s="7" t="inlineStr">
        <is>
          <t>Community Visit creation is blocked by an unconfigured approval workflow</t>
        </is>
      </c>
      <c r="C35" s="7" t="inlineStr">
        <is>
          <t>OBSERVED</t>
        </is>
      </c>
      <c r="D35" s="7" t="inlineStr">
        <is>
          <t>Creating a Community Visit auto-generates an Approval (via a doctype hook) whose category must have ref_doc == "Community Visit". On a clean install no such category exists, so creation fails with "Invalid Approval Category for Document Type Community Visit." Configuring one did not immediately resolve it. The hook appears to select a category by a rule not yet traced. Recorded as the same class as the other config-not-in-repo findings: the Community Visit flow depends on approval-category configuration that is production database state, absent from the repositories. Full lifecycle testing of Community Visit is deferred pending that configuration.</t>
        </is>
      </c>
    </row>
    <row r="36">
      <c r="A36" s="6" t="inlineStr">
        <is>
          <t>WC-093</t>
        </is>
      </c>
      <c r="B36" s="7" t="inlineStr">
        <is>
          <t>Course creation requires a 20+ field wizard payload</t>
        </is>
      </c>
      <c r="C36" s="7" t="inlineStr">
        <is>
          <t>OBSERVED — lifecycle coverage note</t>
        </is>
      </c>
      <c r="D36" s="7" t="inlineStr">
        <is>
          <t>youth_skilling.api.skilling_repository.add_course validates more than twenty required fields before it will create a course — course_name, category, onboarding_date, screening flag, partner, training centre, certificate authority, lighthouse centre, QP code, education, eligibility remark, gender, age group, batch type, training mode, employment type, aligned job roles, durations, and more — several of them Links to other master records. Not a defect — a course is a genuinely complex object … (full detail in the findings register)</t>
        </is>
      </c>
    </row>
    <row r="37">
      <c r="A37" s="6" t="inlineStr">
        <is>
          <t>WC-094</t>
        </is>
      </c>
      <c r="B37" s="7" t="inlineStr">
        <is>
          <t>Lifecycle coverage summary: 8 objects fully driven, patterns established</t>
        </is>
      </c>
      <c r="C37" s="7" t="inlineStr">
        <is>
          <t>Verified</t>
        </is>
      </c>
      <c r="D37" s="7" t="inlineStr">
        <is>
          <t>Objects driven through their lifecycle (create/read/update/state): Task, Pre Enquiry, Enquiry Form, Counselling, Approval, Follow Up, Skilling Issue (8th, Community Visit, blocked on approval config). Across personas fc, oc, ch, sp. Create succeeds on 7 of 8; read on 7; update on 6. The state-change column is where the defects live: 2 clean, 1 confirmed defect (Enquiry typo), the verified API-403 cluster (S2).</t>
        </is>
      </c>
    </row>
    <row r="38">
      <c r="A38" s="6" t="inlineStr">
        <is>
          <t>WC-098</t>
        </is>
      </c>
      <c r="B38" s="7" t="inlineStr">
        <is>
          <t>Systematic validation/error-state sweep: validation is sound, error delivery is poor</t>
        </is>
      </c>
      <c r="C38" s="7" t="inlineStr">
        <is>
          <t>Verified — runtime</t>
        </is>
      </c>
      <c r="D38" s="7" t="inlineStr">
        <is>
          <t>Method. Six mutation endpoints across four personas were fed (a) an empty payload and (b) a well-formed payload carrying invalid values — nonexistent link references, bad enum values, an end-date before the start-date. data/validation-probe-results.json has the table. - The clean result — validation itself works. No endpoint accepted invalid data (zero false-OK). Bad enum values, nonexistent references and impossible dates were all refused. Invalid data does not get written. This is the property that matters most, and it holds.</t>
        </is>
      </c>
    </row>
    <row r="39">
      <c r="A39" s="6" t="inlineStr">
        <is>
          <t>WC-100</t>
        </is>
      </c>
      <c r="B39" s="7" t="inlineStr">
        <is>
          <t>Transactional integrity holds for batch operations</t>
        </is>
      </c>
      <c r="C39" s="7" t="inlineStr">
        <is>
          <t>Verified — clean result</t>
        </is>
      </c>
      <c r="D39" s="7" t="inlineStr">
        <is>
          <t>Tested: update_youth_status called with a list of two IDs — one valid (a North youth the FC persona owns) and one nonexistent — and a status change. Result: the endpoint returned HTTP 400 "Invalid id" and the valid youth's status was unchanged — it validated the entire batch before applying any change, rather than mutating the valid record and then failing on the invalid one.</t>
        </is>
      </c>
    </row>
    <row r="40">
      <c r="A40" s="6" t="inlineStr">
        <is>
          <t>WC-102</t>
        </is>
      </c>
      <c r="B40" s="7" t="inlineStr">
        <is>
          <t>Auto-resolving create prober: coverage tool and its limits</t>
        </is>
      </c>
      <c r="C40" s="7" t="inlineStr">
        <is>
          <t>Verified</t>
        </is>
      </c>
      <c r="D40" s="7" t="inlineStr">
        <is>
          <t>Built utils/auto-create-probe.mjs, which drives a create endpoint by iterating call -&gt; read the error -&gt; satisfy it -&gt; retry, resolving required fields, invalid links (by querying the database) and enum constraints automatically. It extended create coverage to Registration Form B and re-confirmed Task, Skilling Issue and Follow Up without hand-built payloads.</t>
        </is>
      </c>
    </row>
    <row r="41">
      <c r="A41" s="6" t="inlineStr">
        <is>
          <t>WC-107</t>
        </is>
      </c>
      <c r="B41" s="7" t="inlineStr">
        <is>
          <t>A PostgreSQL data dump is stored in the data-pipeline-dashboard repository</t>
        </is>
      </c>
      <c r="C41" s="7" t="inlineStr">
        <is>
          <t>Verified — archive TOC and schema; confirmed intentional by the QA lead</t>
        </is>
      </c>
      <c r="D41" s="7" t="inlineStr">
        <is>
          <t>Not raised as a defect. Recorded for completeness because the file was examined during the review of the foundation's GitHub organisation, and because a reader of the register may otherwise wonder whether it was missed. - Where: Lighthouse-Communities-Foundation/data-pipeline-dashboard, lcf_data.sql, on the default branch. The repository is private.</t>
        </is>
      </c>
    </row>
    <row r="42">
      <c r="A42" s="6" t="inlineStr">
        <is>
          <t>WC-113</t>
        </is>
      </c>
      <c r="B42" s="7" t="inlineStr">
        <is>
          <t>Coverage assessed against OWASP API Security Top 10 (2023)</t>
        </is>
      </c>
      <c r="C42" s="7" t="inlineStr">
        <is>
          <t>METHOD</t>
        </is>
      </c>
      <c r="D42" s="7" t="inlineStr">
        <is>
          <t>This engagement's security testing grew out of functional QA rather than from a security standard, so its coverage was mapped against the OWASP API Security Top 10 after the fact. The mapping is recorded here so that what was and was not examined is explicit. Follow-up (2026-09-22): the four untested categories have since been examined, together with SQL injection and file upload. API7 came back clean; API3, API4 and API6 each produced findings, recorded above. Injection is clean (all 339 raw SQL calls taint-analysed). The only remaining partial areas are a full mass-assignment sweep across every data-accepting endpoint, and CORS configuration.</t>
        </is>
      </c>
    </row>
    <row r="43">
      <c r="A43" s="6" t="inlineStr">
        <is>
          <t>WC-119</t>
        </is>
      </c>
      <c r="B43" s="7" t="inlineStr">
        <is>
          <t>SQL injection assessment: no injectable site found; one fragile pattern noted</t>
        </is>
      </c>
      <c r="C43" s="7" t="inlineStr">
        <is>
          <t>Verified — source, taint analysis of all 339 raw SQL calls</t>
        </is>
      </c>
      <c r="D43" s="7" t="inlineStr">
        <is>
          <t>Assessed in response to the OWASP/CWE injection category, which had not been examined systematically. The result is a clean one, recorded here so that what was checked is explicit. - Method. Every frappe.db.sql() call in the eight applications was located by static analysis (339 in total), and each was classified by what it interpolates into the SQL string: a locally-built clause fragment, a value derived from the ORM or the server, or a value reaching the string directly from a request parameter.</t>
        </is>
      </c>
    </row>
    <row r="44">
      <c r="A44" s="6" t="inlineStr">
        <is>
          <t>WC-124</t>
        </is>
      </c>
      <c r="B44" s="7" t="inlineStr">
        <is>
          <t>Mass-assignment sweep: every endpoint re-examined, and a correction to our earlier count</t>
        </is>
      </c>
      <c r="C44" s="7" t="inlineStr">
        <is>
          <t>Verified — source analysis, re-run 2026-09-25</t>
        </is>
      </c>
      <c r="D44" s="7" t="inlineStr">
        <is>
          <t>Completes the API3 category. This entry replaces an earlier version that reported 28 sites with 22 filtered and 6 not. Re-running the analysis with two faults removed changed the answer, and the earlier figures should not be relied on. 1. Commented-out code was counted. outreach/apis/pec/form.py contains a large block of dead code around line 518 in which a doc.update(data) and a save(ignore_permissions=True) appear. Every line is commented. It is not reachable and should never have been in the count. 2. A denylist was read as a filter. Several handlers call remove_keys_from_dict(data, keys_to_remove) or data.pop(...) before the write … (full detail in the findings register)</t>
        </is>
      </c>
    </row>
    <row r="45">
      <c r="A45" s="6" t="inlineStr">
        <is>
          <t>WC-132</t>
        </is>
      </c>
      <c r="B45" s="7" t="inlineStr">
        <is>
          <t>Unauthenticated endpoint inventory, enumerated across all backends</t>
        </is>
      </c>
      <c r="C45" s="7" t="inlineStr">
        <is>
          <t>Verified — source</t>
        </is>
      </c>
      <c r="D45" s="7" t="inlineStr">
        <is>
          <t>17 guest-reachable endpoints across the eight backends. Most are legitimate: login, the password-reset trio, and read-only reference lists. Already raised separately: the OpenAPI spec endpoints (WC-068), account provisioning (WC-077), and the password-reset functions (WC-128, WC-131). Worth confirming: the four placement reference endpoints (salary_range, industry, employer_by_job_role, job_by_employer) return data to any unauthenticated caller — probably intended for a public form, but should be a deliberate decision.</t>
        </is>
      </c>
    </row>
    <row r="46">
      <c r="A46" s="6" t="inlineStr">
        <is>
          <t>WC-135</t>
        </is>
      </c>
      <c r="B46" s="7" t="inlineStr">
        <is>
          <t>Front-end security sweep: clean results worth recording</t>
        </is>
      </c>
      <c r="C46" s="7" t="inlineStr">
        <is>
          <t>Verified — source</t>
        </is>
      </c>
      <c r="D46" s="7" t="inlineStr">
        <is>
          <t>Verified-negative FE results: no mixed content (http:// resources), no window 'message' listeners, no secrets in URL query strings, no eval/new Function on reachable paths. Two apps (sp, syc) already strip console in production — the pattern WC-128 recommends for the rest.</t>
        </is>
      </c>
    </row>
  </sheetData>
  <autoFilter ref="A4:D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WeConnect 2.0 QA</dc:creator>
  <dc:title xmlns:dc="http://purl.org/dc/elements/1.1/">WeConnect 2.0 QA Defect Tracker</dc:title>
  <dcterms:created xmlns:dcterms="http://purl.org/dc/terms/" xmlns:xsi="http://www.w3.org/2001/XMLSchema-instance" xsi:type="dcterms:W3CDTF">2026-10-08T18:10:39Z</dcterms:created>
  <dcterms:modified xmlns:dcterms="http://purl.org/dc/terms/" xmlns:xsi="http://www.w3.org/2001/XMLSchema-instance" xsi:type="dcterms:W3CDTF">2026-10-20T12:19:59Z</dcterms:modified>
  <cp:lastModifiedBy>WeConnect 2.0 QA</cp:lastModifiedBy>
</cp:coreProperties>
</file>