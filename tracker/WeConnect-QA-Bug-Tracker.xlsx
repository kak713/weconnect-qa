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Backend Bugs" sheetId="3" state="visible" r:id="rId3"/>
    <sheet xmlns:r="http://schemas.openxmlformats.org/officeDocument/2006/relationships" name="Frontend Bugs" sheetId="4" state="visible" r:id="rId4"/>
    <sheet xmlns:r="http://schemas.openxmlformats.org/officeDocument/2006/relationships" name="Daily Report" sheetId="5" state="visible" r:id="rId5"/>
    <sheet xmlns:r="http://schemas.openxmlformats.org/officeDocument/2006/relationships" name="Summary" sheetId="6" state="visible" r:id="rId6"/>
    <sheet xmlns:r="http://schemas.openxmlformats.org/officeDocument/2006/relationships" name="Observations" sheetId="7" state="visible" r:id="rId7"/>
  </sheets>
  <definedNames>
    <definedName name="_xlnm._FilterDatabase" localSheetId="1" hidden="1">'Bugs'!$A$1:$W$88</definedName>
    <definedName name="_xlnm._FilterDatabase" localSheetId="2" hidden="1">'Backend Bugs'!$A$4:$K$70</definedName>
    <definedName name="_xlnm._FilterDatabase" localSheetId="3" hidden="1">'Frontend Bugs'!$A$4:$K$25</definedName>
    <definedName name="_xlnm._FilterDatabase" localSheetId="6" hidden="1">'Observations'!$A$4:$D$46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Fixed for non-System-Manager accounts — RUNTIME/source 2026-10-20: counselling list filters by User Permission for non-SM (same pattern as WC-095); System Manager bypass remains</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Still present — RUNTIME CONFIRMED 2026-10-20: East/West account closed a North batch ('Batch closed successfully'); no centre check in close_batch</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Fixed for non-System-Manager accounts — RUNTIME CONFIRMED 2026-10-20: non-SM East/West account raising a North invoice refused with HTTP 403; breaches only for System Manager accounts (live accounts are non-SM)</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Still present on api-dev — Python traceback in error body</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Runtime re-confirm in progress on isolated stack (2026-10-20)</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Partially fixed — youth_skilling specs now require auth; batch_management swagger_spec still public</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Partially fixed — accounts no longer hold System Manager (live); source ignore_permissions bypass unchanged</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Still present — source 2026-10-20: delete_file_by_url has no owner/permission check (files.py:463)</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Still present — 322 ignore_permissions sites (up from ~296)</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Runtime re-confirm in progress on isolated stack (2026-10-20)</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Still present — id=json.loads(id) typo at both sites</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Still present — 66 System Manager references in backend code</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Runtime re-confirm in progress on isolated stack (2026-10-20)</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Partially fixed — OTP now CSPRNG (secrets.randbelow); still 4-digit</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Fixed (retest 2026-10-20) — auth guard now derived from credentials, not hardcoded true</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Still present — api_secret still written to localStorage (15 sites)</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Still present on api-dev — no security headers</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Materially improved — RUNTIME 2026-10-20: add_interest rejects undeclared fields; 23/28 mass-assignment sites now allowlist-guarded (was ~10); 5 remain unguarded</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Still present — RUNTIME 2026-10-20: 5/12 contradictory values stored (negative/inverted capacity, 150% and -20% installment, negative cost); future DOB now rejected</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Still present — RUNTIME 2026-10-20: Skilling Invoice 30/30 and Skilling Batch 72/72 status transitions all accepted (no state machine)</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Still present — reset OTP still logged to console (forget-password-api/store); corrects earlier 'fixed'</t>
        </is>
      </c>
      <c r="W43" s="7" t="inlineStr"/>
    </row>
    <row r="44">
      <c r="A44" s="6" t="inlineStr">
        <is>
          <t>WC-133</t>
        </is>
      </c>
      <c r="B44" s="7" t="inlineStr">
        <is>
          <t>Six of the seven frontend applications have no React error boundary, so any component crash blanks the whole screen</t>
        </is>
      </c>
      <c r="C44" s="10" t="inlineStr">
        <is>
          <t>S2 Critical</t>
        </is>
      </c>
      <c r="D44" s="7" t="inlineStr">
        <is>
          <t>P2</t>
        </is>
      </c>
      <c r="E44" s="7" t="inlineStr">
        <is>
          <t>all personas (affects every app except SP)</t>
        </is>
      </c>
      <c r="F44" s="7" t="inlineStr">
        <is>
          <t>all routes</t>
        </is>
      </c>
      <c r="G44" s="7" t="inlineStr">
        <is>
          <t>Frontend</t>
        </is>
      </c>
      <c r="H44" s="7" t="inlineStr">
        <is>
          <t>Phase 2 (security)</t>
        </is>
      </c>
      <c r="I44" s="7" t="inlineStr">
        <is>
          <t>Source review</t>
        </is>
      </c>
      <c r="J44"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K44" s="7" t="inlineStr">
        <is>
          <t>A component fault is contained by an error boundary and shows a fallback, not a blank page.</t>
        </is>
      </c>
      <c r="L44" s="7" t="inlineStr">
        <is>
          <t>With no error boundary, one failing component unmounts the whole page to blank — the mechanism behind the blank-route defects WC-016 and WC-043. The fix pattern already exists in weconnect-frontend-sp.</t>
        </is>
      </c>
      <c r="M44" s="7" t="inlineStr">
        <is>
          <t>No ErrorBoundary/componentDidCatch/errorElement in OC, auth, ch, fc, sm, syc. Only weconnect-frontend-sp has a real error-boundary.jsx wired into its layout.</t>
        </is>
      </c>
      <c r="N44" s="7" t="inlineStr">
        <is>
          <t>source: all eight frontend repos · findings/findings-log.md -&gt; WC-133</t>
        </is>
      </c>
      <c r="O44" s="7" t="inlineStr">
        <is>
          <t>Copy weconnect-frontend-sp's error-boundary.jsx into the other six apps and wrap each router/layout in it. This contains future crashes; it does not replace the null-guard fix at WC-043.</t>
        </is>
      </c>
      <c r="P44" s="7" t="inlineStr">
        <is>
          <t>Verified — source, all eight repos</t>
        </is>
      </c>
      <c r="Q44" s="7" t="inlineStr">
        <is>
          <t>2026-10-06</t>
        </is>
      </c>
      <c r="R44" s="9" t="inlineStr">
        <is>
          <t>Open</t>
        </is>
      </c>
      <c r="S44" s="9" t="inlineStr"/>
      <c r="T44" s="9" t="inlineStr"/>
      <c r="U44" s="9" t="inlineStr">
        <is>
          <t>Open</t>
        </is>
      </c>
      <c r="V44" s="9" t="inlineStr">
        <is>
          <t>Partially fixed — error boundary now in 2 of 9 apps; 7 still lack one</t>
        </is>
      </c>
      <c r="W44" s="7" t="inlineStr"/>
    </row>
    <row r="45">
      <c r="A45" s="6" t="inlineStr">
        <is>
          <t>WC-004</t>
        </is>
      </c>
      <c r="B45" s="7" t="inlineStr">
        <is>
          <t>Committed env files in frontend repos</t>
        </is>
      </c>
      <c r="C45" s="11" t="inlineStr">
        <is>
          <t>S3 Major</t>
        </is>
      </c>
      <c r="D45" s="7" t="inlineStr">
        <is>
          <t>P2</t>
        </is>
      </c>
      <c r="E45" s="7" t="inlineStr">
        <is>
          <t>Facilitator and Counsellor</t>
        </is>
      </c>
      <c r="F45" s="7" t="inlineStr">
        <is>
          <t>no screen reaches this; see Steps</t>
        </is>
      </c>
      <c r="G45" s="7" t="inlineStr">
        <is>
          <t>Handover / configuration</t>
        </is>
      </c>
      <c r="H45" s="7" t="inlineStr">
        <is>
          <t>Phase 1</t>
        </is>
      </c>
      <c r="I45" s="7" t="inlineStr">
        <is>
          <t>UAT / dev (read-only)</t>
        </is>
      </c>
      <c r="J45" s="7" t="inlineStr">
        <is>
          <t>Inspection, not a runtime reproduction.
1. Open weconnect-frontend-fc repo, dev branch: .env, .env.uat, .env.prod tracked.
2. Confirm what the Actual Result column describes is present (or absent).
3. Full reasoning is in findings/findings-log.md under WC-004.</t>
        </is>
      </c>
      <c r="K45" s="7" t="inlineStr">
        <is>
          <t>Everything needed to build and run the platform is present in the repositories the foundation owns.</t>
        </is>
      </c>
      <c r="L45" s="7" t="inlineStr">
        <is>
          <t>hygiene; .env.prod should not be committed. (Contents not inspected.)</t>
        </is>
      </c>
      <c r="M45" s="7" t="inlineStr">
        <is>
          <t>hygiene; .env.prod should not be committed. (Contents not inspected.)</t>
        </is>
      </c>
      <c r="N45" s="7" t="inlineStr">
        <is>
          <t>evidence/doctype-schemas.json · suite/probes/compare-environments.mjs · findings/findings-log.md -&gt; WC-004</t>
        </is>
      </c>
      <c r="O45"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5" s="7" t="inlineStr">
        <is>
          <t>Not recorded</t>
        </is>
      </c>
      <c r="Q45" s="7" t="inlineStr">
        <is>
          <t>2026-09-20</t>
        </is>
      </c>
      <c r="R45" s="9" t="inlineStr">
        <is>
          <t>Open</t>
        </is>
      </c>
      <c r="S45" s="9" t="inlineStr"/>
      <c r="T45" s="9" t="inlineStr"/>
      <c r="U45" s="9" t="inlineStr">
        <is>
          <t>Open</t>
        </is>
      </c>
      <c r="V45" s="9" t="inlineStr">
        <is>
          <t>Still present — 19 committed .env files</t>
        </is>
      </c>
      <c r="W45" s="7" t="inlineStr"/>
    </row>
    <row r="46">
      <c r="A46" s="6" t="inlineStr">
        <is>
          <t>WC-065</t>
        </is>
      </c>
      <c r="B46" s="7" t="inlineStr">
        <is>
          <t>A selector endpoint returns the entire youth population, unpaginated</t>
        </is>
      </c>
      <c r="C46" s="11" t="inlineStr">
        <is>
          <t>S3 Major</t>
        </is>
      </c>
      <c r="D46" s="7" t="inlineStr">
        <is>
          <t>P2</t>
        </is>
      </c>
      <c r="E46" s="7" t="inlineStr">
        <is>
          <t>Outreach Coordinator, Facilitator and Counsellor, Skilling Youth Coordinator, Placement Ma</t>
        </is>
      </c>
      <c r="F46" s="7" t="inlineStr">
        <is>
          <t>/oc/batch-management, /oc/batch-management/mark-attendance, /oc/enrollment/registration/registration-form</t>
        </is>
      </c>
      <c r="G46" s="7" t="inlineStr">
        <is>
          <t>Performance</t>
        </is>
      </c>
      <c r="H46" s="7" t="inlineStr">
        <is>
          <t>Phase 2</t>
        </is>
      </c>
      <c r="I46" s="7" t="inlineStr">
        <is>
          <t>UAT / dev (read-only)</t>
        </is>
      </c>
      <c r="J46" s="7" t="inlineStr">
        <is>
          <t>1. Drive facilitator_and_counsellor.api.counselling.helper.get_youth_list with several sessions at once, increasing concurrency step by step.
2. Record the HTTP status and response time at each level.
3. Note the point at which results stop being consistent.</t>
        </is>
      </c>
      <c r="K46" s="7" t="inlineStr">
        <is>
          <t>The endpoint responds within the expected load without degrading, and large result sets are paginated.</t>
        </is>
      </c>
      <c r="L46" s="7" t="inlineStr">
        <is>
          <t>See the register entry for impact.</t>
        </is>
      </c>
      <c r="M46" s="7" t="inlineStr">
        <is>
          <t>3,825 records in a single response — 204 KB, 1.82 s. The response carries a count field but no total_pages or total_data_count, and accepts no page parameter.</t>
        </is>
      </c>
      <c r="N46" s="7" t="inlineStr">
        <is>
          <t>evidence/gate-probe-results.json · findings/findings-log.md -&gt; WC-065</t>
        </is>
      </c>
      <c r="O46" s="7" t="inlineStr">
        <is>
          <t>paginate it as the sibling endpoints already do, or make it a server-side search that returns matches for a typed prefix rather than the full population.</t>
        </is>
      </c>
      <c r="P46" s="7" t="inlineStr">
        <is>
          <t>Verified</t>
        </is>
      </c>
      <c r="Q46" s="7" t="inlineStr"/>
      <c r="R46" s="9" t="inlineStr">
        <is>
          <t>Open</t>
        </is>
      </c>
      <c r="S46" s="9" t="inlineStr"/>
      <c r="T46" s="9" t="inlineStr"/>
      <c r="U46" s="9" t="inlineStr">
        <is>
          <t>Open</t>
        </is>
      </c>
      <c r="V46" s="9" t="inlineStr">
        <is>
          <t>Open — awaiting fix</t>
        </is>
      </c>
      <c r="W46" s="7" t="inlineStr"/>
    </row>
    <row r="47">
      <c r="A47" s="6" t="inlineStr">
        <is>
          <t>WC-080</t>
        </is>
      </c>
      <c r="B47" s="7" t="inlineStr">
        <is>
          <t>move_youth creates a batch-transfer approval for any youth with no caller check</t>
        </is>
      </c>
      <c r="C47" s="11" t="inlineStr">
        <is>
          <t>S3 Major</t>
        </is>
      </c>
      <c r="D47" s="7" t="inlineStr">
        <is>
          <t>P2</t>
        </is>
      </c>
      <c r="E47" s="7" t="inlineStr">
        <is>
          <t>All personas / not role-specific</t>
        </is>
      </c>
      <c r="F47" s="7" t="inlineStr">
        <is>
          <t>no screen reaches this; see Steps</t>
        </is>
      </c>
      <c r="G47" s="7" t="inlineStr">
        <is>
          <t>Authorisation</t>
        </is>
      </c>
      <c r="H47" s="7" t="inlineStr">
        <is>
          <t>Phase 2</t>
        </is>
      </c>
      <c r="I47" s="7" t="inlineStr">
        <is>
          <t>Source review</t>
        </is>
      </c>
      <c r="J47" s="7" t="inlineStr">
        <is>
          <t>1. Sign in as an authenticated staff account — any authenticated account is enough.
2. Call frappe.session.user with no special privileges.
3. Observe that the call is accepted rather than refused, and check whether anything changed.</t>
        </is>
      </c>
      <c r="K47" s="7" t="inlineStr">
        <is>
          <t>The endpoint checks the caller's authorisation before acting, and refuses the call when the caller is not permitted.</t>
        </is>
      </c>
      <c r="L47" s="7" t="inlineStr">
        <is>
          <t>See the register entry for impact.</t>
        </is>
      </c>
      <c r="M47" s="7" t="inlineStr">
        <is>
          <t>move_youth creates a batch-transfer approval for any youth with no caller check.</t>
        </is>
      </c>
      <c r="N47" s="7" t="inlineStr">
        <is>
          <t>evidence/gate-probe-results.json · evidence/bypass-endpoints.json · suite/probes/gate-probe.mjs · findings/findings-log.md -&gt; WC-080</t>
        </is>
      </c>
      <c r="O47" s="7" t="inlineStr">
        <is>
          <t>check the caller's permitted_centres against the youth's centre before creating the approval.</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WC-097</t>
        </is>
      </c>
      <c r="B48" s="7" t="inlineStr">
        <is>
          <t>Batch deletion performs no dependent-record check</t>
        </is>
      </c>
      <c r="C48" s="11" t="inlineStr">
        <is>
          <t>S3 Major</t>
        </is>
      </c>
      <c r="D48" s="7" t="inlineStr">
        <is>
          <t>P2</t>
        </is>
      </c>
      <c r="E48" s="7" t="inlineStr">
        <is>
          <t>All personas / not role-specific</t>
        </is>
      </c>
      <c r="F48" s="7" t="inlineStr">
        <is>
          <t>no screen reaches this; see Steps</t>
        </is>
      </c>
      <c r="G48" s="7" t="inlineStr">
        <is>
          <t>Transactional integrity</t>
        </is>
      </c>
      <c r="H48" s="7" t="inlineStr">
        <is>
          <t>Phase 2</t>
        </is>
      </c>
      <c r="I48" s="7" t="inlineStr">
        <is>
          <t>Source review</t>
        </is>
      </c>
      <c r="J48" s="7" t="inlineStr">
        <is>
          <t>1. Create a parent record with at least one dependent record attached.
2. Call batch_management/api/pathway_batch/form.py, mark_as_deleted(ids, remarks) to remove the parent.
3. Check what happened to the dependents.</t>
        </is>
      </c>
      <c r="K48" s="7" t="inlineStr">
        <is>
          <t>A record with dependents cannot be removed without an explicit, acknowledged cascade.</t>
        </is>
      </c>
      <c r="L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8" s="7" t="inlineStr">
        <is>
          <t>evidence/lifecycle-coverage.json · suite/probes/lifecycle-probe.mjs · findings/findings-log.md -&gt; WC-097</t>
        </is>
      </c>
      <c r="O48" s="7" t="inlineStr">
        <is>
          <t>refuse deletion (or require explicit confirmation) when dependent records exist, and check the caller's centre scope as with the other write endpoints.</t>
        </is>
      </c>
      <c r="P48" s="7" t="inlineStr">
        <is>
          <t>Verified — source</t>
        </is>
      </c>
      <c r="Q48" s="7" t="inlineStr"/>
      <c r="R48" s="9" t="inlineStr">
        <is>
          <t>Open</t>
        </is>
      </c>
      <c r="S48" s="9" t="inlineStr"/>
      <c r="T48" s="9" t="inlineStr"/>
      <c r="U48" s="9" t="inlineStr">
        <is>
          <t>Open</t>
        </is>
      </c>
      <c r="V48" s="9" t="inlineStr">
        <is>
          <t>Open — awaiting fix</t>
        </is>
      </c>
      <c r="W48" s="7" t="inlineStr"/>
    </row>
    <row r="49">
      <c r="A49" s="6" t="inlineStr">
        <is>
          <t>WC-099</t>
        </is>
      </c>
      <c r="B49" s="7" t="inlineStr">
        <is>
          <t>Financial and state-change endpoints are not idempotent</t>
        </is>
      </c>
      <c r="C49" s="11" t="inlineStr">
        <is>
          <t>S3 Major</t>
        </is>
      </c>
      <c r="D49" s="7" t="inlineStr">
        <is>
          <t>P2</t>
        </is>
      </c>
      <c r="E49" s="7" t="inlineStr">
        <is>
          <t>All personas / not role-specific</t>
        </is>
      </c>
      <c r="F49" s="7" t="inlineStr">
        <is>
          <t>no screen reaches this; see Steps</t>
        </is>
      </c>
      <c r="G49" s="7" t="inlineStr">
        <is>
          <t>API contract</t>
        </is>
      </c>
      <c r="H49" s="7" t="inlineStr">
        <is>
          <t>Phase 2</t>
        </is>
      </c>
      <c r="I49" s="7" t="inlineStr">
        <is>
          <t>UAT / dev (read-only)</t>
        </is>
      </c>
      <c r="J49"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9" s="7" t="inlineStr">
        <is>
          <t>The HTTP status matches the outcome: a failure returns 4xx/5xx, never 200, and the response shape is consistent.</t>
        </is>
      </c>
      <c r="L49"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9"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9" s="7" t="inlineStr">
        <is>
          <t>evidence/validation-probe-results.json · evidence/write-surface-classified.json · findings/findings-log.md -&gt; WC-099</t>
        </is>
      </c>
      <c r="O49" s="7" t="inlineStr">
        <is>
          <t>guard state transitions on the current state (refuse to raise an already-raised invoice), and accept an idempotency key on creates so a retried request returns the original record rather than a duplicate.</t>
        </is>
      </c>
      <c r="P49" s="7" t="inlineStr">
        <is>
          <t>Verified — runtime</t>
        </is>
      </c>
      <c r="Q49" s="7" t="inlineStr"/>
      <c r="R49" s="9" t="inlineStr">
        <is>
          <t>Open</t>
        </is>
      </c>
      <c r="S49" s="9" t="inlineStr"/>
      <c r="T49" s="9" t="inlineStr"/>
      <c r="U49" s="9" t="inlineStr">
        <is>
          <t>Open</t>
        </is>
      </c>
      <c r="V49" s="9" t="inlineStr">
        <is>
          <t>Open — awaiting fix</t>
        </is>
      </c>
      <c r="W49" s="7" t="inlineStr"/>
    </row>
    <row r="50">
      <c r="A50" s="6" t="inlineStr">
        <is>
          <t>WC-109</t>
        </is>
      </c>
      <c r="B50" s="7" t="inlineStr">
        <is>
          <t>dashboard.get_invoice_count applies no scoping at all and returns a global financial aggregate</t>
        </is>
      </c>
      <c r="C50" s="11" t="inlineStr">
        <is>
          <t>S3 Major</t>
        </is>
      </c>
      <c r="D50" s="7" t="inlineStr">
        <is>
          <t>P2</t>
        </is>
      </c>
      <c r="E50" s="7" t="inlineStr">
        <is>
          <t>Skilling Partner</t>
        </is>
      </c>
      <c r="F50" s="7" t="inlineStr">
        <is>
          <t>no screen reaches this; see Steps</t>
        </is>
      </c>
      <c r="G50" s="7" t="inlineStr">
        <is>
          <t>Data protection</t>
        </is>
      </c>
      <c r="H50" s="7" t="inlineStr">
        <is>
          <t>Phase 2</t>
        </is>
      </c>
      <c r="I50" s="7" t="inlineStr">
        <is>
          <t>Isolated stack (synthetic data)</t>
        </is>
      </c>
      <c r="J50" s="7" t="inlineStr">
        <is>
          <t>1. Sign in as Outreach Coordinator and note the permitted_centres in the login response.
2. Call youth_skilling.api.dashboard.get_invoice_count.
3. Compare the centre on every returned record against that permitted list.</t>
        </is>
      </c>
      <c r="K50" s="7" t="inlineStr">
        <is>
          <t>Only data the account is permitted to see is returned, and lower environments hold no real programme data.</t>
        </is>
      </c>
      <c r="L50"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50" s="7" t="inlineStr">
        <is>
          <t>the handler calls frappe.db.count("Skilling Invoice", {"current_status": ...}) with no centre predicate. frappe.db.count does not apply permissions, so no scoping occurs by any route. This one genuinely has no filter, unlike its siblings on the same dashboard.</t>
        </is>
      </c>
      <c r="N50" s="7" t="inlineStr">
        <is>
          <t>evidence/data-shape.json · evidence/gate-probe-results.json · findings/findings-log.md -&gt; WC-109</t>
        </is>
      </c>
      <c r="O50" s="7" t="inlineStr">
        <is>
          <t>filter by the caller's permitted centres, as the sibling cards attempt to, and prefer frappe.get_list/get_all with an explicit centre predicate over frappe.db.count.</t>
        </is>
      </c>
      <c r="P50" s="7" t="inlineStr">
        <is>
          <t>Verified — runtime, three disjoint personas</t>
        </is>
      </c>
      <c r="Q50" s="7" t="inlineStr"/>
      <c r="R50" s="9" t="inlineStr">
        <is>
          <t>Open</t>
        </is>
      </c>
      <c r="S50" s="9" t="inlineStr"/>
      <c r="T50" s="9" t="inlineStr"/>
      <c r="U50" s="9" t="inlineStr">
        <is>
          <t>Open</t>
        </is>
      </c>
      <c r="V50" s="9" t="inlineStr">
        <is>
          <t>Open — awaiting fix</t>
        </is>
      </c>
      <c r="W50" s="7" t="inlineStr"/>
    </row>
    <row r="51">
      <c r="A51" s="6" t="inlineStr">
        <is>
          <t>WC-116</t>
        </is>
      </c>
      <c r="B51" s="7" t="inlineStr">
        <is>
          <t>Session lifetime is seven days, which compounds the token-storage exposure</t>
        </is>
      </c>
      <c r="C51" s="11" t="inlineStr">
        <is>
          <t>S3 Major</t>
        </is>
      </c>
      <c r="D51" s="7" t="inlineStr">
        <is>
          <t>P2</t>
        </is>
      </c>
      <c r="E51" s="7" t="inlineStr">
        <is>
          <t>All personas / not role-specific</t>
        </is>
      </c>
      <c r="F51" s="7" t="inlineStr">
        <is>
          <t>no screen reaches this; see Steps</t>
        </is>
      </c>
      <c r="G51" s="7" t="inlineStr">
        <is>
          <t>Security configuration</t>
        </is>
      </c>
      <c r="H51" s="7" t="inlineStr">
        <is>
          <t>Phase 2 (security)</t>
        </is>
      </c>
      <c r="I51" s="7" t="inlineStr">
        <is>
          <t>Isolated stack (synthetic data)</t>
        </is>
      </c>
      <c r="J51" s="7" t="inlineStr">
        <is>
          <t>1. No sign-in needed for the header checks.
2. Issue the request described in the Actual Result column against the deployed host.
3. Inspect the response headers (or the cookie attributes) rather than the body.
4. Fastest route: node verify/run.mjs --only WC-116</t>
        </is>
      </c>
      <c r="K51" s="7" t="inlineStr">
        <is>
          <t>The protective setting is in place and the unsafe request is refused.</t>
        </is>
      </c>
      <c r="L51"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1" s="7" t="inlineStr">
        <is>
          <t>System Settings reports session_expiry = 170:00, which is 170 hours, a little over seven days. force_user_to_reset_password = 0 and minimum_password_score = 2 on Frappe's 0–4 scale, which zxcvbn describes as "somewhat guessable".</t>
        </is>
      </c>
      <c r="N51" s="7" t="inlineStr">
        <is>
          <t>verify/run.mjs · re-check: node verify/run.mjs --only WC-116 · findings/findings-log.md -&gt; WC-116</t>
        </is>
      </c>
      <c r="O51" s="7" t="inlineStr">
        <is>
          <t>shorten the session lifetime to something proportionate to a working day, move the credential to the httpOnly cookie the API already issues, and raise the minimum password score. None of these requires application changes; they are settings.</t>
        </is>
      </c>
      <c r="P51" s="7" t="inlineStr">
        <is>
          <t>Verified — System Settings, isolated instance built from the client's own configuration path</t>
        </is>
      </c>
      <c r="Q51" s="7" t="inlineStr"/>
      <c r="R51" s="9" t="inlineStr">
        <is>
          <t>Open</t>
        </is>
      </c>
      <c r="S51" s="9" t="inlineStr"/>
      <c r="T51" s="9" t="inlineStr"/>
      <c r="U51" s="9" t="inlineStr">
        <is>
          <t>Open — re-checked 2026-09-25, still present</t>
        </is>
      </c>
      <c r="V51" s="9" t="inlineStr">
        <is>
          <t>Still present on api-dev — session Max-Age 7.1 days</t>
        </is>
      </c>
      <c r="W51" s="7" t="inlineStr">
        <is>
          <t>node verify/run.mjs --only WC-116</t>
        </is>
      </c>
    </row>
    <row r="52">
      <c r="A52" s="6" t="inlineStr">
        <is>
          <t>WC-121</t>
        </is>
      </c>
      <c r="B52" s="7" t="inlineStr">
        <is>
          <t>CORS is configured to reflect any origin with credentials allowed</t>
        </is>
      </c>
      <c r="C52" s="11" t="inlineStr">
        <is>
          <t>S3 Major</t>
        </is>
      </c>
      <c r="D52" s="7" t="inlineStr">
        <is>
          <t>P2</t>
        </is>
      </c>
      <c r="E52" s="7" t="inlineStr">
        <is>
          <t>no account required (unauthenticated)</t>
        </is>
      </c>
      <c r="F52" s="7" t="inlineStr">
        <is>
          <t>no screen reaches this; see Steps</t>
        </is>
      </c>
      <c r="G52" s="7" t="inlineStr">
        <is>
          <t>Security configuration</t>
        </is>
      </c>
      <c r="H52" s="7" t="inlineStr">
        <is>
          <t>Phase 2 (security)</t>
        </is>
      </c>
      <c r="I52" s="7" t="inlineStr">
        <is>
          <t>UAT / dev (read-only)</t>
        </is>
      </c>
      <c r="J52" s="7" t="inlineStr">
        <is>
          <t>1. No sign-in needed for the header checks.
2. Issue the request described in the Actual Result column against the deployed host.
3. Inspect the response headers (or the cookie attributes) rather than the body.
4. Fastest route: node verify/run.mjs --only WC-121</t>
        </is>
      </c>
      <c r="K52" s="7" t="inlineStr">
        <is>
          <t>The protective setting is in place and the unsafe request is refused.</t>
        </is>
      </c>
      <c r="L52" s="7" t="inlineStr">
        <is>
          <t>See the register entry for impact.</t>
        </is>
      </c>
      <c r="M52"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2" s="7" t="inlineStr">
        <is>
          <t>verify/run.mjs · re-check: node verify/run.mjs --only WC-121 · findings/findings-log.md -&gt; WC-121</t>
        </is>
      </c>
      <c r="O52"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2" s="7" t="inlineStr">
        <is>
          <t>Verified — observed against the live backend</t>
        </is>
      </c>
      <c r="Q52" s="7" t="inlineStr"/>
      <c r="R52" s="9" t="inlineStr">
        <is>
          <t>Open</t>
        </is>
      </c>
      <c r="S52" s="9" t="inlineStr"/>
      <c r="T52" s="9" t="inlineStr"/>
      <c r="U52" s="9" t="inlineStr">
        <is>
          <t>Open — re-checked 2026-09-25, still present</t>
        </is>
      </c>
      <c r="V52" s="9" t="inlineStr">
        <is>
          <t>Still present on api-dev — CORS reflects any origin with credentials</t>
        </is>
      </c>
      <c r="W52" s="7" t="inlineStr">
        <is>
          <t>node verify/run.mjs --only WC-121</t>
        </is>
      </c>
    </row>
    <row r="53">
      <c r="A53" s="6" t="inlineStr">
        <is>
          <t>WC-123</t>
        </is>
      </c>
      <c r="B53" s="7" t="inlineStr">
        <is>
          <t>update_profile applies caller data to a User record, and its permission check is dead code</t>
        </is>
      </c>
      <c r="C53" s="11" t="inlineStr">
        <is>
          <t>S3 Major</t>
        </is>
      </c>
      <c r="D53" s="7" t="inlineStr">
        <is>
          <t>P2</t>
        </is>
      </c>
      <c r="E53" s="7" t="inlineStr">
        <is>
          <t>any authenticated account</t>
        </is>
      </c>
      <c r="F53" s="7" t="inlineStr">
        <is>
          <t>no screen reaches this; see Steps</t>
        </is>
      </c>
      <c r="G53" s="7" t="inlineStr">
        <is>
          <t>Authorisation</t>
        </is>
      </c>
      <c r="H53" s="7" t="inlineStr">
        <is>
          <t>Phase 2 (security)</t>
        </is>
      </c>
      <c r="I53" s="7" t="inlineStr">
        <is>
          <t>Isolated stack (synthetic data)</t>
        </is>
      </c>
      <c r="J53"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3" s="7" t="inlineStr">
        <is>
          <t>Only the fields the endpoint declares are written. Any other field in the payload is rejected.</t>
        </is>
      </c>
      <c r="L53" s="7" t="inlineStr">
        <is>
          <t>See the register entry for impact.</t>
        </is>
      </c>
      <c r="M53" s="7" t="inlineStr">
        <is>
          <t>update_profile applies caller data to a User record, and its permission check is dead code.</t>
        </is>
      </c>
      <c r="N53" s="7" t="inlineStr">
        <is>
          <t>suite/probes/mass-assignment-probe.mjs · suite/probes/mass_assignment_scan.py · findings/findings-log.md -&gt; WC-123</t>
        </is>
      </c>
      <c r="O53" s="7" t="inlineStr">
        <is>
          <t>Add return after the 403. Restrict data to the profile fields this screen is meant to edit. Check the permission before applying the data rather than after.</t>
        </is>
      </c>
      <c r="P53" s="7" t="inlineStr">
        <is>
          <t>Verified — reproduced against the isolated stack</t>
        </is>
      </c>
      <c r="Q53" s="7" t="inlineStr"/>
      <c r="R53" s="9" t="inlineStr">
        <is>
          <t>Open</t>
        </is>
      </c>
      <c r="S53" s="9" t="inlineStr"/>
      <c r="T53" s="9" t="inlineStr"/>
      <c r="U53" s="9" t="inlineStr">
        <is>
          <t>Open</t>
        </is>
      </c>
      <c r="V53" s="9" t="inlineStr">
        <is>
          <t>Still present — RUNTIME 2026-10-20: wrote a field on another user's record (update_profile, one of 5 unguarded mass-assignment sites)</t>
        </is>
      </c>
      <c r="W53" s="7" t="inlineStr"/>
    </row>
    <row r="54">
      <c r="A54" s="6" t="inlineStr">
        <is>
          <t>WC-005</t>
        </is>
      </c>
      <c r="B54" s="7" t="inlineStr">
        <is>
          <t>Forgot Password link is a dead anchor</t>
        </is>
      </c>
      <c r="C54" s="11" t="inlineStr">
        <is>
          <t>S3 Major</t>
        </is>
      </c>
      <c r="D54" s="7" t="inlineStr">
        <is>
          <t>P3</t>
        </is>
      </c>
      <c r="E54" s="7" t="inlineStr">
        <is>
          <t>shared login application</t>
        </is>
      </c>
      <c r="F54" s="7" t="inlineStr">
        <is>
          <t>/authentication/forget-password</t>
        </is>
      </c>
      <c r="G54" s="7" t="inlineStr">
        <is>
          <t>Frontend</t>
        </is>
      </c>
      <c r="H54" s="7" t="inlineStr">
        <is>
          <t>Phase 1</t>
        </is>
      </c>
      <c r="I54" s="7" t="inlineStr">
        <is>
          <t>UAT / dev (read-only)</t>
        </is>
      </c>
      <c r="J54"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4" s="7" t="inlineStr">
        <is>
          <t>The screen renders its content when the URL is opened directly, refreshed, or reached from a bookmark.</t>
        </is>
      </c>
      <c r="L54" s="7" t="inlineStr">
        <is>
          <t>no password recovery path from login.</t>
        </is>
      </c>
      <c r="M54" s="7" t="inlineStr">
        <is>
          <t>"Forgot Password?" href="#" — no destination.</t>
        </is>
      </c>
      <c r="N54" s="7" t="inlineStr">
        <is>
          <t>findings/findings-log.md -&gt; WC-005</t>
        </is>
      </c>
      <c r="O54"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WC-006</t>
        </is>
      </c>
      <c r="B55" s="7" t="inlineStr">
        <is>
          <t>Password field missing autocomplete attribute</t>
        </is>
      </c>
      <c r="C55" s="11" t="inlineStr">
        <is>
          <t>S3 Major</t>
        </is>
      </c>
      <c r="D55" s="7" t="inlineStr">
        <is>
          <t>P3</t>
        </is>
      </c>
      <c r="E55" s="7" t="inlineStr">
        <is>
          <t>All personas / not role-specific</t>
        </is>
      </c>
      <c r="F55" s="7" t="inlineStr">
        <is>
          <t>no screen reaches this; see Steps</t>
        </is>
      </c>
      <c r="G55" s="7" t="inlineStr">
        <is>
          <t>Accessibility</t>
        </is>
      </c>
      <c r="H55" s="7" t="inlineStr">
        <is>
          <t>Phase 1</t>
        </is>
      </c>
      <c r="I55" s="7" t="inlineStr">
        <is>
          <t>UAT / dev (read-only)</t>
        </is>
      </c>
      <c r="J55" s="7" t="inlineStr">
        <is>
          <t>1. Load the password input on /authentication/login as an authenticated staff account.
2. Run axe-core against the page (or any WCAG 2.1 AA checker).
3. Read the violations for the element named in the Actual Result column.</t>
        </is>
      </c>
      <c r="K55" s="7" t="inlineStr">
        <is>
          <t>The element meets WCAG 2.1 AA.</t>
        </is>
      </c>
      <c r="L55" s="7" t="inlineStr">
        <is>
          <t>See the register entry for impact.</t>
        </is>
      </c>
      <c r="M55" s="7" t="inlineStr">
        <is>
          <t>Chrome DOM warning; breaks password managers / a11y.</t>
        </is>
      </c>
      <c r="N55" s="7" t="inlineStr">
        <is>
          <t>the axe-core run across all 235 routes · findings/findings-log.md -&gt; WC-006</t>
        </is>
      </c>
      <c r="O55" s="7" t="inlineStr">
        <is>
          <t>add autocomplete="current-password" to the login password input (and autocomplete="username" to the identifier field). One attribute each; it restores password manager support and clears the browser console warning.</t>
        </is>
      </c>
      <c r="P55" s="7" t="inlineStr">
        <is>
          <t>Not recorded</t>
        </is>
      </c>
      <c r="Q55" s="7" t="inlineStr"/>
      <c r="R55" s="9" t="inlineStr">
        <is>
          <t>Open</t>
        </is>
      </c>
      <c r="S55" s="9" t="inlineStr"/>
      <c r="T55" s="9" t="inlineStr"/>
      <c r="U55" s="9" t="inlineStr">
        <is>
          <t>Open</t>
        </is>
      </c>
      <c r="V55" s="9" t="inlineStr">
        <is>
          <t>Open — awaiting fix</t>
        </is>
      </c>
      <c r="W55" s="7" t="inlineStr"/>
    </row>
    <row r="56">
      <c r="A56" s="6" t="inlineStr">
        <is>
          <t>WC-014</t>
        </is>
      </c>
      <c r="B56" s="7" t="inlineStr">
        <is>
          <t>OC (Outreach Coordinator) account returns empty role_profile</t>
        </is>
      </c>
      <c r="C56" s="11" t="inlineStr">
        <is>
          <t>S3 Major</t>
        </is>
      </c>
      <c r="D56" s="7" t="inlineStr">
        <is>
          <t>P3</t>
        </is>
      </c>
      <c r="E56" s="7" t="inlineStr">
        <is>
          <t>Placement Manager, shared login application</t>
        </is>
      </c>
      <c r="F56" s="7" t="inlineStr">
        <is>
          <t>/pm/waiting-for-mapping, /, /auth/google/callback, /authentication/forget-password</t>
        </is>
      </c>
      <c r="G56" s="7" t="inlineStr">
        <is>
          <t>API contract</t>
        </is>
      </c>
      <c r="H56" s="7" t="inlineStr">
        <is>
          <t>Phase 1</t>
        </is>
      </c>
      <c r="I56" s="7" t="inlineStr">
        <is>
          <t>UAT / dev (read-only)</t>
        </is>
      </c>
      <c r="J56" s="7" t="inlineStr">
        <is>
          <t>1. Sign in as an authenticated staff account.
2. Call authentication.api.auth.login in a way that must fail (an invalid identifier, a missing field).
3. Compare the HTTP status against the body's own success flag.</t>
        </is>
      </c>
      <c r="K56" s="7" t="inlineStr">
        <is>
          <t>The HTTP status matches the outcome: a failure returns 4xx/5xx, never 200, and the response shape is consistent.</t>
        </is>
      </c>
      <c r="L56" s="7" t="inlineStr">
        <is>
          <t>role-dependent UI/permissions may misbehave for OC. App is the unlabeled weconnect-frontend (lcf_project). Confirm intended OC role config with client.</t>
        </is>
      </c>
      <c r="M56" s="7" t="inlineStr">
        <is>
          <t>authentication.api.auth.login returns HTTP 200 but role_profile: "" for the OC account, while all other personas return a populated profile.</t>
        </is>
      </c>
      <c r="N56" s="7" t="inlineStr">
        <is>
          <t>evidence/validation-probe-results.json · evidence/write-surface-classified.json · findings/findings-log.md -&gt; WC-014</t>
        </is>
      </c>
      <c r="O56" s="7" t="inlineStr">
        <is>
          <t>assign the Outreach Coordinator role profile to the account, and make the login endpoint refuse — or at minimum log. An authenticated user with no role profile, rather than returning an empty string that callers must interpret.</t>
        </is>
      </c>
      <c r="P56" s="7" t="inlineStr">
        <is>
          <t>Verified</t>
        </is>
      </c>
      <c r="Q56" s="7" t="inlineStr">
        <is>
          <t>2026-09-20</t>
        </is>
      </c>
      <c r="R56" s="9" t="inlineStr">
        <is>
          <t>Open</t>
        </is>
      </c>
      <c r="S56" s="9" t="inlineStr"/>
      <c r="T56" s="9" t="inlineStr"/>
      <c r="U56" s="9" t="inlineStr">
        <is>
          <t>Open</t>
        </is>
      </c>
      <c r="V56" s="9" t="inlineStr">
        <is>
          <t>Open — awaiting fix</t>
        </is>
      </c>
      <c r="W56" s="7" t="inlineStr"/>
    </row>
    <row r="57">
      <c r="A57" s="6" t="inlineStr">
        <is>
          <t>WC-019</t>
        </is>
      </c>
      <c r="B57" s="7" t="inlineStr">
        <is>
          <t>SP /approvals data API returns 404</t>
        </is>
      </c>
      <c r="C57" s="11" t="inlineStr">
        <is>
          <t>S3 Major</t>
        </is>
      </c>
      <c r="D57" s="7" t="inlineStr">
        <is>
          <t>P3</t>
        </is>
      </c>
      <c r="E57" s="7" t="inlineStr">
        <is>
          <t>Skilling Manager, Skilling Partner, Placement Manager</t>
        </is>
      </c>
      <c r="F57" s="7" t="inlineStr">
        <is>
          <t>/sm/batch-management, /sm/budget, /sm/discontinued-skilling-tables, /sp/approvals, /sp/follow-ups, /sp/screening-schedul</t>
        </is>
      </c>
      <c r="G57" s="7" t="inlineStr">
        <is>
          <t>API contract</t>
        </is>
      </c>
      <c r="H57" s="7" t="inlineStr">
        <is>
          <t>Phase 1</t>
        </is>
      </c>
      <c r="I57" s="7" t="inlineStr">
        <is>
          <t>UAT / dev (read-only)</t>
        </is>
      </c>
      <c r="J57" s="7" t="inlineStr">
        <is>
          <t>1. Sign in as Skilling Partner and open /sp/approvals with the browser network tab open.
2. Find the failing request in the network log.
3. Note its URL and status code.</t>
        </is>
      </c>
      <c r="K57" s="7" t="inlineStr">
        <is>
          <t>The endpoint the screen calls exists on the deployed build and returns its data.</t>
        </is>
      </c>
      <c r="L57" s="7" t="inlineStr">
        <is>
          <t>See the register entry for impact.</t>
        </is>
      </c>
      <c r="M57" s="7" t="inlineStr">
        <is>
          <t>SP /approvals data API returns 404.</t>
        </is>
      </c>
      <c r="N57" s="7" t="inlineStr">
        <is>
          <t>evidence/write-surface-classified.json · findings/findings-log.md -&gt; WC-019</t>
        </is>
      </c>
      <c r="O57"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7" s="7" t="inlineStr">
        <is>
          <t>Verified</t>
        </is>
      </c>
      <c r="Q57" s="7" t="inlineStr">
        <is>
          <t>2026-09-18</t>
        </is>
      </c>
      <c r="R57" s="9" t="inlineStr">
        <is>
          <t>Open</t>
        </is>
      </c>
      <c r="S57" s="9" t="inlineStr"/>
      <c r="T57" s="9" t="inlineStr"/>
      <c r="U57" s="9" t="inlineStr">
        <is>
          <t>Open</t>
        </is>
      </c>
      <c r="V57" s="9" t="inlineStr">
        <is>
          <t>Open — awaiting fix</t>
        </is>
      </c>
      <c r="W57" s="7" t="inlineStr"/>
    </row>
    <row r="58">
      <c r="A58" s="6" t="inlineStr">
        <is>
          <t>WC-024</t>
        </is>
      </c>
      <c r="B58" s="7" t="inlineStr">
        <is>
          <t>Endpoint-level role separation is inconsistent; data scoping is the only real control</t>
        </is>
      </c>
      <c r="C58" s="11" t="inlineStr">
        <is>
          <t>S3 Major</t>
        </is>
      </c>
      <c r="D58" s="7" t="inlineStr">
        <is>
          <t>P3</t>
        </is>
      </c>
      <c r="E58" s="7" t="inlineStr">
        <is>
          <t>All personas / not role-specific</t>
        </is>
      </c>
      <c r="F58" s="7" t="inlineStr">
        <is>
          <t>no screen reaches this; see Steps</t>
        </is>
      </c>
      <c r="G58" s="7" t="inlineStr">
        <is>
          <t>Data protection</t>
        </is>
      </c>
      <c r="H58" s="7" t="inlineStr">
        <is>
          <t>Phase 1</t>
        </is>
      </c>
      <c r="I58" s="7" t="inlineStr">
        <is>
          <t>UAT / dev (read-only)</t>
        </is>
      </c>
      <c r="J58" s="7" t="inlineStr">
        <is>
          <t>1. Sign in as an authenticated staff account and note the permitted_centres in the login response.
2. Call the per-persona endpoint set recorded in evidence/authz-audit.json.
3. Compare the centre on every returned record against that permitted list.</t>
        </is>
      </c>
      <c r="K58" s="7" t="inlineStr">
        <is>
          <t>Only data the account is permitted to see is returned, and lower environments hold no real programme data.</t>
        </is>
      </c>
      <c r="L58"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8" s="7" t="inlineStr">
        <is>
          <t>each persona was offered the 67 endpoints exclusive to other personas. Share refused (401/403):; Caller; Read OK; Refused; Refusal rate; OC; 48; 0; 0%; CH; 36; 3; 8%; FC; 45; 7; 13%; SYC; 45; 9; 16%; SM; 33; 11; 24%; SP; 33; 14; 29%.</t>
        </is>
      </c>
      <c r="N58" s="7" t="inlineStr">
        <is>
          <t>evidence/data-shape.json · evidence/gate-probe-results.json · findings/findings-log.md -&gt; WC-024</t>
        </is>
      </c>
      <c r="O58" s="7" t="inlineStr">
        <is>
          <t>See register.</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WC-028</t>
        </is>
      </c>
      <c r="B59" s="7" t="inlineStr">
        <is>
          <t>Colour contrast below WCAG AA on 13 routes</t>
        </is>
      </c>
      <c r="C59" s="11" t="inlineStr">
        <is>
          <t>S3 Major</t>
        </is>
      </c>
      <c r="D59" s="7" t="inlineStr">
        <is>
          <t>P3</t>
        </is>
      </c>
      <c r="E59" s="7" t="inlineStr">
        <is>
          <t>All personas / not role-specific</t>
        </is>
      </c>
      <c r="F59" s="7" t="inlineStr">
        <is>
          <t>no screen reaches this; see Steps</t>
        </is>
      </c>
      <c r="G59" s="7" t="inlineStr">
        <is>
          <t>Accessibility</t>
        </is>
      </c>
      <c r="H59" s="7" t="inlineStr">
        <is>
          <t>Phase 1</t>
        </is>
      </c>
      <c r="I59" s="7" t="inlineStr">
        <is>
          <t>UAT / dev (read-only)</t>
        </is>
      </c>
      <c r="J59"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9" s="7" t="inlineStr">
        <is>
          <t>The element meets WCAG 2.1 AA.</t>
        </is>
      </c>
      <c r="L59" s="7" t="inlineStr">
        <is>
          <t>text fails the 4.5:1 AA threshold; affects low-vision users and anyone on a poor screen or in sunlight — relevant for field staff working on phones outdoors.</t>
        </is>
      </c>
      <c r="M59" s="7" t="inlineStr">
        <is>
          <t>color-contrast, serious, 13 routes, 43 elements.</t>
        </is>
      </c>
      <c r="N59" s="7" t="inlineStr">
        <is>
          <t>the axe-core run across all 235 routes · findings/findings-log.md -&gt; WC-028</t>
        </is>
      </c>
      <c r="O59"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WC-030</t>
        </is>
      </c>
      <c r="B60" s="7" t="inlineStr">
        <is>
          <t>permitted_courses is a string for half the accounts and an array for the other half</t>
        </is>
      </c>
      <c r="C60" s="11" t="inlineStr">
        <is>
          <t>S3 Major</t>
        </is>
      </c>
      <c r="D60" s="7" t="inlineStr">
        <is>
          <t>P3</t>
        </is>
      </c>
      <c r="E60" s="7" t="inlineStr">
        <is>
          <t>Placement Manager, shared login application</t>
        </is>
      </c>
      <c r="F60" s="7" t="inlineStr">
        <is>
          <t>/pm/waiting-for-mapping, /, /auth/google/callback, /authentication/forget-password</t>
        </is>
      </c>
      <c r="G60" s="7" t="inlineStr">
        <is>
          <t>Error handling</t>
        </is>
      </c>
      <c r="H60" s="7" t="inlineStr">
        <is>
          <t>Phase 1</t>
        </is>
      </c>
      <c r="I60" s="7" t="inlineStr">
        <is>
          <t>UAT / dev (read-only)</t>
        </is>
      </c>
      <c r="J60" s="7" t="inlineStr">
        <is>
          <t>1. Sign in as each of the six personas in turn.
2. Read permitted_courses in each login response.
3. Compare the type across accounts: three return an array, three return the string NA.</t>
        </is>
      </c>
      <c r="K60" s="7" t="inlineStr">
        <is>
          <t>A 4xx response with a message the caller can act on. No stack trace and no HTTP 500.</t>
        </is>
      </c>
      <c r="L60"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60" s="7" t="inlineStr">
        <is>
          <t>Account; permitted_courses; FC; array(3); SP; array(2); SM; array(11); CH; "NA" (string); SYC; "NA" (string); OC; "NA" (string)</t>
        </is>
      </c>
      <c r="N60" s="7" t="inlineStr">
        <is>
          <t>evidence/validation-probe-results.json · suite/probes/validation-probe.mjs · findings/findings-log.md -&gt; WC-030</t>
        </is>
      </c>
      <c r="O60" s="7" t="inlineStr">
        <is>
          <t>return [] rather than the sentinel string "NA". A field's type should not depend on its value. permitted_centres is correctly an array for every account and is the reference.</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WC-031</t>
        </is>
      </c>
      <c r="B61" s="7" t="inlineStr">
        <is>
          <t>Logging in silently terminates the previous session</t>
        </is>
      </c>
      <c r="C61" s="11" t="inlineStr">
        <is>
          <t>S3 Major</t>
        </is>
      </c>
      <c r="D61" s="7" t="inlineStr">
        <is>
          <t>P3</t>
        </is>
      </c>
      <c r="E61" s="7" t="inlineStr">
        <is>
          <t>All personas / not role-specific</t>
        </is>
      </c>
      <c r="F61" s="7" t="inlineStr">
        <is>
          <t>no screen reaches this; see Steps</t>
        </is>
      </c>
      <c r="G61" s="7" t="inlineStr">
        <is>
          <t>Authentication / session</t>
        </is>
      </c>
      <c r="H61" s="7" t="inlineStr">
        <is>
          <t>Phase 1</t>
        </is>
      </c>
      <c r="I61" s="7" t="inlineStr">
        <is>
          <t>UAT / dev (read-only)</t>
        </is>
      </c>
      <c r="J61" s="7" t="inlineStr">
        <is>
          <t>1. Sign in as the same account in one browser.
2. Sign in again as that account in a second browser.
3. Return to the first browser and issue any authenticated request.</t>
        </is>
      </c>
      <c r="K61" s="7" t="inlineStr">
        <is>
          <t>Session behaviour is deliberate and the user is told when a session ends.</t>
        </is>
      </c>
      <c r="L61"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1" s="7" t="inlineStr">
        <is>
          <t>two consecutive logins for the same account. api_key is stable; api_secret is regenerated on each login, and the first secret immediately returns 401.</t>
        </is>
      </c>
      <c r="N61" s="7" t="inlineStr">
        <is>
          <t>findings/findings-log.md -&gt; WC-031</t>
        </is>
      </c>
      <c r="O61" s="7" t="inlineStr">
        <is>
          <t>See register.</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WC-055</t>
        </is>
      </c>
      <c r="B62" s="7" t="inlineStr">
        <is>
          <t>The deployable platform is undocumented and larger than the handover</t>
        </is>
      </c>
      <c r="C62" s="11" t="inlineStr">
        <is>
          <t>S3 Major</t>
        </is>
      </c>
      <c r="D62" s="7" t="inlineStr">
        <is>
          <t>P3</t>
        </is>
      </c>
      <c r="E62" s="7" t="inlineStr">
        <is>
          <t>any persona (login)</t>
        </is>
      </c>
      <c r="F62" s="7" t="inlineStr">
        <is>
          <t>no screen reaches this; see Steps</t>
        </is>
      </c>
      <c r="G62" s="7" t="inlineStr">
        <is>
          <t>Handover / configuration</t>
        </is>
      </c>
      <c r="H62" s="7" t="inlineStr">
        <is>
          <t>Phase 2</t>
        </is>
      </c>
      <c r="I62" s="7" t="inlineStr">
        <is>
          <t>Isolated stack (synthetic data)</t>
        </is>
      </c>
      <c r="J62" s="7" t="inlineStr">
        <is>
          <t>Inspection, not a runtime reproduction.
1. Open frappe.db.get_value("Employee", {"user_id": user}).
2. Confirm what the Actual Result column describes is present (or absent).
3. Full reasoning is in findings/findings-log.md under WC-055.</t>
        </is>
      </c>
      <c r="K62" s="7" t="inlineStr">
        <is>
          <t>Everything needed to build and run the platform is present in the repositories the foundation owns.</t>
        </is>
      </c>
      <c r="L62" s="7" t="inlineStr">
        <is>
          <t>See the register entry for impact.</t>
        </is>
      </c>
      <c r="M62"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2" s="7" t="inlineStr">
        <is>
          <t>evidence/doctype-schemas.json · suite/probes/compare-environments.mjs · findings/findings-log.md -&gt; WC-055</t>
        </is>
      </c>
      <c r="O62" s="7" t="inlineStr">
        <is>
          <t>declare required_apps in authentication/hooks.py, and record the deployable set in a README. Both are small; the absence of both is what turns a dependency into a trap.</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WC-059</t>
        </is>
      </c>
      <c r="B63" s="7" t="inlineStr">
        <is>
          <t>Orphaned module records remain for three uninstalled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UAT / dev (read-only)</t>
        </is>
      </c>
      <c r="J63"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3" s="7" t="inlineStr">
        <is>
          <t>Everything needed to build and run the platform is present in the repositories the foundation owns.</t>
        </is>
      </c>
      <c r="L63"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3" s="7" t="inlineStr">
        <is>
          <t>Module Def holds records attributed to three applications that get_versions does not list as installed:; Application; Orphaned modules; hrms; HR, Payroll; mannlowe_support; Mannlowe Support; materialized_view_builder; Materialized View Builder.</t>
        </is>
      </c>
      <c r="N63" s="7" t="inlineStr">
        <is>
          <t>evidence/doctype-schemas.json · suite/probes/compare-environments.mjs · findings/findings-log.md -&gt; WC-059</t>
        </is>
      </c>
      <c r="O63" s="7" t="inlineStr">
        <is>
          <t>remove the orphaned Module Def records, or reinstall-and-uninstall cleanly.</t>
        </is>
      </c>
      <c r="P63" s="7" t="inlineStr">
        <is>
          <t>Verified</t>
        </is>
      </c>
      <c r="Q63" s="7" t="inlineStr"/>
      <c r="R63" s="9" t="inlineStr">
        <is>
          <t>Open</t>
        </is>
      </c>
      <c r="S63" s="9" t="inlineStr"/>
      <c r="T63" s="9" t="inlineStr"/>
      <c r="U63" s="9" t="inlineStr">
        <is>
          <t>Open</t>
        </is>
      </c>
      <c r="V63" s="9" t="inlineStr">
        <is>
          <t>Open — awaiting fix</t>
        </is>
      </c>
      <c r="W63" s="7" t="inlineStr"/>
    </row>
    <row r="64">
      <c r="A64" s="6" t="inlineStr">
        <is>
          <t>WC-062</t>
        </is>
      </c>
      <c r="B64" s="7" t="inlineStr">
        <is>
          <t>Three doctypes are defined twice, by two different applications</t>
        </is>
      </c>
      <c r="C64" s="11" t="inlineStr">
        <is>
          <t>S3 Major</t>
        </is>
      </c>
      <c r="D64" s="7" t="inlineStr">
        <is>
          <t>P3</t>
        </is>
      </c>
      <c r="E64" s="7" t="inlineStr">
        <is>
          <t>All personas / not role-specific</t>
        </is>
      </c>
      <c r="F64" s="7" t="inlineStr">
        <is>
          <t>no screen reaches this; see Steps</t>
        </is>
      </c>
      <c r="G64" s="7" t="inlineStr">
        <is>
          <t>Handover / configuration</t>
        </is>
      </c>
      <c r="H64" s="7" t="inlineStr">
        <is>
          <t>Phase 2</t>
        </is>
      </c>
      <c r="I64" s="7" t="inlineStr">
        <is>
          <t>Isolated stack (synthetic data)</t>
        </is>
      </c>
      <c r="J64" s="7" t="inlineStr">
        <is>
          <t>Inspection, not a runtime reproduction.
1. Open the three doctypes the register names as defined by two applications each.
2. Confirm what the Actual Result column describes is present (or absent).
3. Full reasoning is in findings/findings-log.md under WC-062.</t>
        </is>
      </c>
      <c r="K64" s="7" t="inlineStr">
        <is>
          <t>Everything needed to build and run the platform is present in the repositories the foundation owns.</t>
        </is>
      </c>
      <c r="L64"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4"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4" s="7" t="inlineStr">
        <is>
          <t>evidence/doctype-schemas.json · suite/probes/compare-environments.mjs · findings/findings-log.md -&gt; WC-062</t>
        </is>
      </c>
      <c r="O64" s="7" t="inlineStr">
        <is>
          <t>one application owns each doctype; the other declares a dependency on it, or the names are made distinct.</t>
        </is>
      </c>
      <c r="P64" s="7" t="inlineStr">
        <is>
          <t>Verified</t>
        </is>
      </c>
      <c r="Q64" s="7" t="inlineStr">
        <is>
          <t>2026-09-20</t>
        </is>
      </c>
      <c r="R64" s="9" t="inlineStr">
        <is>
          <t>Open</t>
        </is>
      </c>
      <c r="S64" s="9" t="inlineStr"/>
      <c r="T64" s="9" t="inlineStr"/>
      <c r="U64" s="9" t="inlineStr">
        <is>
          <t>Open</t>
        </is>
      </c>
      <c r="V64" s="9" t="inlineStr">
        <is>
          <t>Open — awaiting fix</t>
        </is>
      </c>
      <c r="W64" s="7" t="inlineStr"/>
    </row>
    <row r="65">
      <c r="A65" s="6" t="inlineStr">
        <is>
          <t>WC-071</t>
        </is>
      </c>
      <c r="B65" s="7" t="inlineStr">
        <is>
          <t>Two independent centre-scoping mechanisms exist, and they can disagree</t>
        </is>
      </c>
      <c r="C65" s="11" t="inlineStr">
        <is>
          <t>S3 Major</t>
        </is>
      </c>
      <c r="D65" s="7" t="inlineStr">
        <is>
          <t>P3</t>
        </is>
      </c>
      <c r="E65" s="7" t="inlineStr">
        <is>
          <t>Placement Manager, shared login application</t>
        </is>
      </c>
      <c r="F65" s="7" t="inlineStr">
        <is>
          <t>/pm/waiting-for-mapping, /, /auth/google/callback, /authentication/forget-password</t>
        </is>
      </c>
      <c r="G65" s="7" t="inlineStr">
        <is>
          <t>Authorisation</t>
        </is>
      </c>
      <c r="H65" s="7" t="inlineStr">
        <is>
          <t>Phase 2</t>
        </is>
      </c>
      <c r="I65" s="7" t="inlineStr">
        <is>
          <t>Source review</t>
        </is>
      </c>
      <c r="J65" s="7" t="inlineStr">
        <is>
          <t>1. Sign in as an authenticated staff account — any authenticated account is enough.
2. Call authentication.api.auth.login with no special privileges.
3. Observe that the call is accepted rather than refused, and check whether anything changed.</t>
        </is>
      </c>
      <c r="K65" s="7" t="inlineStr">
        <is>
          <t>One centre-scoping mechanism is authoritative, and every path derives scope from it.</t>
        </is>
      </c>
      <c r="L65" s="7" t="inlineStr">
        <is>
          <t>See the register entry for impact.</t>
        </is>
      </c>
      <c r="M65"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5" s="7" t="inlineStr">
        <is>
          <t>evidence/authz-audit.json · findings/findings-log.md -&gt; WC-071</t>
        </is>
      </c>
      <c r="O65" s="7" t="inlineStr">
        <is>
          <t>derive one from the other, or have write paths consult permitted_centres as read paths do.</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WC-072</t>
        </is>
      </c>
      <c r="B66" s="7" t="inlineStr">
        <is>
          <t>A custom field makes ERPNext's Company creation fail</t>
        </is>
      </c>
      <c r="C66" s="11" t="inlineStr">
        <is>
          <t>S3 Major</t>
        </is>
      </c>
      <c r="D66" s="7" t="inlineStr">
        <is>
          <t>P3</t>
        </is>
      </c>
      <c r="E66" s="7" t="inlineStr">
        <is>
          <t>All personas / not role-specific</t>
        </is>
      </c>
      <c r="F66" s="7" t="inlineStr">
        <is>
          <t>no screen reaches this; see Steps</t>
        </is>
      </c>
      <c r="G66" s="7" t="inlineStr">
        <is>
          <t>Error handling</t>
        </is>
      </c>
      <c r="H66" s="7" t="inlineStr">
        <is>
          <t>Phase 2</t>
        </is>
      </c>
      <c r="I66" s="7" t="inlineStr">
        <is>
          <t>UAT / dev (read-only)</t>
        </is>
      </c>
      <c r="J66" s="7" t="inlineStr">
        <is>
          <t>1. On a clean install built from the repositories, attempt to create an ERPNext Company.
2. Submit the form with all mandatory fields completed.
3. Creation fails on the custom_abbr custom field, which has no default.</t>
        </is>
      </c>
      <c r="K66" s="7" t="inlineStr">
        <is>
          <t>A 4xx response with a message the caller can act on. No stack trace and no HTTP 500.</t>
        </is>
      </c>
      <c r="L66" s="7" t="inlineStr">
        <is>
          <t>See the register entry for impact.</t>
        </is>
      </c>
      <c r="M66" s="7" t="inlineStr">
        <is>
          <t>A custom field makes ERPNext's Company creation fail.</t>
        </is>
      </c>
      <c r="N66" s="7" t="inlineStr">
        <is>
          <t>evidence/validation-probe-results.json · suite/probes/validation-probe.mjs · findings/findings-log.md -&gt; WC-072</t>
        </is>
      </c>
      <c r="O66" s="7" t="inlineStr">
        <is>
          <t>give custom_abbr a default, or make it non-mandatory and validate it only where the application actually requires it.</t>
        </is>
      </c>
      <c r="P66" s="7" t="inlineStr">
        <is>
          <t>Verified</t>
        </is>
      </c>
      <c r="Q66" s="7" t="inlineStr"/>
      <c r="R66" s="9" t="inlineStr">
        <is>
          <t>Open</t>
        </is>
      </c>
      <c r="S66" s="9" t="inlineStr"/>
      <c r="T66" s="9" t="inlineStr"/>
      <c r="U66" s="9" t="inlineStr">
        <is>
          <t>Open</t>
        </is>
      </c>
      <c r="V66" s="9" t="inlineStr">
        <is>
          <t>Open — awaiting fix</t>
        </is>
      </c>
      <c r="W66" s="7" t="inlineStr"/>
    </row>
    <row r="67">
      <c r="A67" s="6" t="inlineStr">
        <is>
          <t>WC-074</t>
        </is>
      </c>
      <c r="B67" s="7" t="inlineStr">
        <is>
          <t>Write failures return HTTP 200, and the success flag is named inconsistently</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API contract</t>
        </is>
      </c>
      <c r="H67" s="7" t="inlineStr">
        <is>
          <t>Phase 2</t>
        </is>
      </c>
      <c r="I67" s="7" t="inlineStr">
        <is>
          <t>Isolated stack (synthetic data)</t>
        </is>
      </c>
      <c r="J67" s="7" t="inlineStr">
        <is>
          <t>1. Sign in as an authenticated staff account.
2. Call outreach.apis.task.task.create_task in a way that must fail (an invalid identifier, a missing field).
3. Compare the HTTP status against the body's own success flag.</t>
        </is>
      </c>
      <c r="K67" s="7" t="inlineStr">
        <is>
          <t>The HTTP status matches the outcome: a failure returns 4xx/5xx, never 200, and the response shape is consistent.</t>
        </is>
      </c>
      <c r="L67"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7"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7" s="7" t="inlineStr">
        <is>
          <t>evidence/validation-probe-results.json · evidence/write-surface-classified.json · findings/findings-log.md -&gt; WC-074</t>
        </is>
      </c>
      <c r="O67" s="7" t="inlineStr">
        <is>
          <t>return 4xx for a rejected write, and use one flag name, in one case, across the API.</t>
        </is>
      </c>
      <c r="P67" s="7" t="inlineStr">
        <is>
          <t>Verified</t>
        </is>
      </c>
      <c r="Q67" s="7" t="inlineStr">
        <is>
          <t>2026-09-19</t>
        </is>
      </c>
      <c r="R67" s="9" t="inlineStr">
        <is>
          <t>Open</t>
        </is>
      </c>
      <c r="S67" s="9" t="inlineStr"/>
      <c r="T67" s="9" t="inlineStr"/>
      <c r="U67" s="9" t="inlineStr">
        <is>
          <t>Open</t>
        </is>
      </c>
      <c r="V67" s="9" t="inlineStr">
        <is>
          <t>Still present — RUNTIME 2026-10-20: close_batch returns HTTP 200 on failure</t>
        </is>
      </c>
      <c r="W67" s="7" t="inlineStr"/>
    </row>
    <row r="68">
      <c r="A68" s="6" t="inlineStr">
        <is>
          <t>WC-076</t>
        </is>
      </c>
      <c r="B68" s="7" t="inlineStr">
        <is>
          <t>update_task returns a 500 and a traceback when any field is omitted</t>
        </is>
      </c>
      <c r="C68" s="11" t="inlineStr">
        <is>
          <t>S3 Major</t>
        </is>
      </c>
      <c r="D68" s="7" t="inlineStr">
        <is>
          <t>P3</t>
        </is>
      </c>
      <c r="E68" s="7" t="inlineStr">
        <is>
          <t>All personas / not role-specific</t>
        </is>
      </c>
      <c r="F68" s="7" t="inlineStr">
        <is>
          <t>no screen reaches this; see Steps</t>
        </is>
      </c>
      <c r="G68" s="7" t="inlineStr">
        <is>
          <t>Error handling</t>
        </is>
      </c>
      <c r="H68" s="7" t="inlineStr">
        <is>
          <t>Phase 2</t>
        </is>
      </c>
      <c r="I68" s="7" t="inlineStr">
        <is>
          <t>UAT / dev (read-only)</t>
        </is>
      </c>
      <c r="J68" s="7" t="inlineStr">
        <is>
          <t>1. Sign in as an authenticated staff account.
2. Call outreach/apis/task/task.py, update_task omitting a required argument, or with an argument of the wrong type.
3. Read the HTTP status and the response body.</t>
        </is>
      </c>
      <c r="K68" s="7" t="inlineStr">
        <is>
          <t>A 4xx response with a message the caller can act on. No stack trace and no HTTP 500.</t>
        </is>
      </c>
      <c r="L68" s="7" t="inlineStr">
        <is>
          <t>See the register entry for impact.</t>
        </is>
      </c>
      <c r="M68" s="7" t="inlineStr">
        <is>
          <t>the handler reads five payload keys by direct subscript rather than .get(): subject, description, assign_to, priority, exp_end_date. Omitting any one raises KeyError, which the framework returns as HTTP 500 with a Python traceback — not a validation message.</t>
        </is>
      </c>
      <c r="N68" s="7" t="inlineStr">
        <is>
          <t>evidence/validation-probe-results.json · suite/probes/validation-probe.mjs · findings/findings-log.md -&gt; WC-076</t>
        </is>
      </c>
      <c r="O68" s="7" t="inlineStr">
        <is>
          <t>data.get(key) throughout, and return a 400 with the missing field named.</t>
        </is>
      </c>
      <c r="P68" s="7" t="inlineStr">
        <is>
          <t>Verified</t>
        </is>
      </c>
      <c r="Q68" s="7" t="inlineStr"/>
      <c r="R68" s="9" t="inlineStr">
        <is>
          <t>Open</t>
        </is>
      </c>
      <c r="S68" s="9" t="inlineStr"/>
      <c r="T68" s="9" t="inlineStr"/>
      <c r="U68" s="9" t="inlineStr">
        <is>
          <t>Open</t>
        </is>
      </c>
      <c r="V68" s="9" t="inlineStr">
        <is>
          <t>Open — awaiting fix</t>
        </is>
      </c>
      <c r="W68" s="7" t="inlineStr"/>
    </row>
    <row r="69">
      <c r="A69" s="6" t="inlineStr">
        <is>
          <t>WC-089</t>
        </is>
      </c>
      <c r="B69" s="7" t="inlineStr">
        <is>
          <t>Multiple whitelisted endpoints return HTTP 500 on a missing argument</t>
        </is>
      </c>
      <c r="C69" s="11" t="inlineStr">
        <is>
          <t>S3 Major</t>
        </is>
      </c>
      <c r="D69" s="7" t="inlineStr">
        <is>
          <t>P3</t>
        </is>
      </c>
      <c r="E69" s="7" t="inlineStr">
        <is>
          <t>Outreach Coordinator, Centre Head, Facilitator and Counsellor, Skilling Partner</t>
        </is>
      </c>
      <c r="F69" s="7" t="inlineStr">
        <is>
          <t>/oc/tasks, /ch/ch-tasks, /ch/individual-target, /ch/staff-monitoring, /fc/tasks, /sp/tasks</t>
        </is>
      </c>
      <c r="G69" s="7" t="inlineStr">
        <is>
          <t>Error handling</t>
        </is>
      </c>
      <c r="H69" s="7" t="inlineStr">
        <is>
          <t>Phase 2</t>
        </is>
      </c>
      <c r="I69" s="7" t="inlineStr">
        <is>
          <t>UAT / dev (read-only)</t>
        </is>
      </c>
      <c r="J69" s="7" t="inlineStr">
        <is>
          <t>1. Sign in as an authenticated staff account.
2. Call outreach.apis.task.task.update_task omitting a required argument, or with an argument of the wrong type.
3. Read the HTTP status and the response body.</t>
        </is>
      </c>
      <c r="K69" s="7" t="inlineStr">
        <is>
          <t>A 4xx response with a message the caller can act on. No stack trace and no HTTP 500.</t>
        </is>
      </c>
      <c r="L69"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9"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9" s="7" t="inlineStr">
        <is>
          <t>evidence/validation-probe-results.json · suite/probes/validation-probe.mjs · findings/findings-log.md -&gt; WC-089</t>
        </is>
      </c>
      <c r="O69" s="7" t="inlineStr">
        <is>
          <t>give optional parameters defaults and validate presence explicitly, returning 400 with the missing field named. This is idiomatic Frappe; the endpoints that get it right (e.g. create_task with .get()) show the pattern.</t>
        </is>
      </c>
      <c r="P69" s="7" t="inlineStr">
        <is>
          <t>Verified — runtime, pattern</t>
        </is>
      </c>
      <c r="Q69" s="7" t="inlineStr"/>
      <c r="R69" s="9" t="inlineStr">
        <is>
          <t>Open</t>
        </is>
      </c>
      <c r="S69" s="9" t="inlineStr"/>
      <c r="T69" s="9" t="inlineStr"/>
      <c r="U69" s="9" t="inlineStr">
        <is>
          <t>Open</t>
        </is>
      </c>
      <c r="V69" s="9" t="inlineStr">
        <is>
          <t>Still present — RUNTIME 2026-10-20: create_pre_enquiry, create_enquiry, raise_invoice, create return 500 on bad input instead of 400</t>
        </is>
      </c>
      <c r="W69" s="7" t="inlineStr"/>
    </row>
    <row r="70">
      <c r="A70" s="6" t="inlineStr">
        <is>
          <t>WC-096</t>
        </is>
      </c>
      <c r="B70" s="7" t="inlineStr">
        <is>
          <t>Skilling Invoice validate() raises a SQL error on a missing column</t>
        </is>
      </c>
      <c r="C70" s="11" t="inlineStr">
        <is>
          <t>S3 Major</t>
        </is>
      </c>
      <c r="D70" s="7" t="inlineStr">
        <is>
          <t>P3</t>
        </is>
      </c>
      <c r="E70" s="7" t="inlineStr">
        <is>
          <t>All personas / not role-specific</t>
        </is>
      </c>
      <c r="F70" s="7" t="inlineStr">
        <is>
          <t>no screen reaches this; see Steps</t>
        </is>
      </c>
      <c r="G70" s="7" t="inlineStr">
        <is>
          <t>Error handling</t>
        </is>
      </c>
      <c r="H70" s="7" t="inlineStr">
        <is>
          <t>Phase 2</t>
        </is>
      </c>
      <c r="I70" s="7" t="inlineStr">
        <is>
          <t>UAT / dev (read-only)</t>
        </is>
      </c>
      <c r="J70" s="7" t="inlineStr">
        <is>
          <t>1. Create or save a Skilling Invoice on an install built from the repositories.
2. The doctype's validate() method runs on save and queries a column that is not present in the schema.
3. The save fails with a SQL error naming the missing column.</t>
        </is>
      </c>
      <c r="K70" s="7" t="inlineStr">
        <is>
          <t>A 4xx response with a message the caller can act on. No stack trace and no HTTP 500.</t>
        </is>
      </c>
      <c r="L70"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70"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70" s="7" t="inlineStr">
        <is>
          <t>evidence/validation-probe-results.json · suite/probes/validation-probe.mjs · findings/findings-log.md -&gt; WC-096</t>
        </is>
      </c>
      <c r="O70"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70" s="7" t="inlineStr">
        <is>
          <t>Verified — corrects the earlier observation</t>
        </is>
      </c>
      <c r="Q70" s="7" t="inlineStr"/>
      <c r="R70" s="9" t="inlineStr">
        <is>
          <t>Open</t>
        </is>
      </c>
      <c r="S70" s="9" t="inlineStr"/>
      <c r="T70" s="9" t="inlineStr"/>
      <c r="U70" s="9" t="inlineStr">
        <is>
          <t>Open</t>
        </is>
      </c>
      <c r="V70" s="9" t="inlineStr">
        <is>
          <t>Open — awaiting fix</t>
        </is>
      </c>
      <c r="W70" s="7" t="inlineStr"/>
    </row>
    <row r="71">
      <c r="A71" s="6" t="inlineStr">
        <is>
          <t>WC-101</t>
        </is>
      </c>
      <c r="B71" s="7" t="inlineStr">
        <is>
          <t>add_remarks crashes with an unhandled ValueError on an empty sequence</t>
        </is>
      </c>
      <c r="C71" s="11" t="inlineStr">
        <is>
          <t>S3 Major</t>
        </is>
      </c>
      <c r="D71" s="7" t="inlineStr">
        <is>
          <t>P3</t>
        </is>
      </c>
      <c r="E71" s="7" t="inlineStr">
        <is>
          <t>Skilling Manager, Skilling Partner, Skilling Youth Coordinator</t>
        </is>
      </c>
      <c r="F71" s="7" t="inlineStr">
        <is>
          <t>/sm/follow-ups, /sp/follow-ups, /syc/assessments, /syc/assignments</t>
        </is>
      </c>
      <c r="G71" s="7" t="inlineStr">
        <is>
          <t>Error handling</t>
        </is>
      </c>
      <c r="H71" s="7" t="inlineStr">
        <is>
          <t>Phase 2</t>
        </is>
      </c>
      <c r="I71" s="7" t="inlineStr">
        <is>
          <t>UAT / dev (read-only)</t>
        </is>
      </c>
      <c r="J71" s="7" t="inlineStr">
        <is>
          <t>1. Sign in as an authenticated staff account.
2. Call youth_skilling.api.actions.add_remarks omitting a required argument, or with an argument of the wrong type.
3. Read the HTTP status and the response body.</t>
        </is>
      </c>
      <c r="K71" s="7" t="inlineStr">
        <is>
          <t>A 4xx response with a message the caller can act on. No stack trace and no HTTP 500.</t>
        </is>
      </c>
      <c r="L71" s="7" t="inlineStr">
        <is>
          <t>for any youth with no records in the collection being aggregated, adding a remark crashes with a 500 and a traceback rather than succeeding or returning a clean message. A common case — a youth early in the pipeline with no screening history — hits it.</t>
        </is>
      </c>
      <c r="M71" s="7" t="inlineStr">
        <is>
          <t>calling it for a youth in the Standby stage returned HTTP 500 with ValueError: max() arg is an empty sequence — the code calls max() over a collection (likely the youth's screening or call records) without handling the empty case.</t>
        </is>
      </c>
      <c r="N71" s="7" t="inlineStr">
        <is>
          <t>evidence/validation-probe-results.json · suite/probes/validation-probe.mjs · findings/findings-log.md -&gt; WC-101</t>
        </is>
      </c>
      <c r="O71" s="7" t="inlineStr">
        <is>
          <t>guard the aggregation (max(seq, default=...) or an emptiness check).</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WC-104</t>
        </is>
      </c>
      <c r="B72" s="7" t="inlineStr">
        <is>
          <t>mark_attendance requires a pre-existing attendance record, and says so only generically</t>
        </is>
      </c>
      <c r="C72" s="11" t="inlineStr">
        <is>
          <t>S3 Major</t>
        </is>
      </c>
      <c r="D72" s="7" t="inlineStr">
        <is>
          <t>P3</t>
        </is>
      </c>
      <c r="E72" s="7" t="inlineStr">
        <is>
          <t>Skilling Partner, Placement Manager</t>
        </is>
      </c>
      <c r="F72" s="7" t="inlineStr">
        <is>
          <t>/sp/assessment, /sp/assignment, /sp/assignment-test, /pm/calling-history, /pm/entrepreneurship, /pm/entrepreneurship/bus</t>
        </is>
      </c>
      <c r="G72" s="7" t="inlineStr">
        <is>
          <t>API contract</t>
        </is>
      </c>
      <c r="H72" s="7" t="inlineStr">
        <is>
          <t>Phase 2</t>
        </is>
      </c>
      <c r="I72" s="7" t="inlineStr">
        <is>
          <t>UAT / dev (read-only)</t>
        </is>
      </c>
      <c r="J72" s="7" t="inlineStr">
        <is>
          <t>1. Sign in as an authenticated staff account.
2. Call youth_skilling.api.batch_management.mark_attendance in a way that must fail (an invalid identifier, a missing field).
3. Compare the HTTP status against the body's own success flag.</t>
        </is>
      </c>
      <c r="K72" s="7" t="inlineStr">
        <is>
          <t>The HTTP status matches the outcome: a failure returns 4xx/5xx, never 200, and the response shape is consistent.</t>
        </is>
      </c>
      <c r="L72"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2"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2" s="7" t="inlineStr">
        <is>
          <t>evidence/validation-probe-results.json · evidence/write-surface-classified.json · findings/findings-log.md -&gt; WC-104</t>
        </is>
      </c>
      <c r="O72" s="7" t="inlineStr">
        <is>
          <t>either create the attendance record on demand, or surface the specific reason in the top-level message. Document the precondition in the docstring either way.</t>
        </is>
      </c>
      <c r="P72" s="7" t="inlineStr">
        <is>
          <t>Verified — runtime</t>
        </is>
      </c>
      <c r="Q72" s="7" t="inlineStr"/>
      <c r="R72" s="9" t="inlineStr">
        <is>
          <t>Open</t>
        </is>
      </c>
      <c r="S72" s="9" t="inlineStr"/>
      <c r="T72" s="9" t="inlineStr"/>
      <c r="U72" s="9" t="inlineStr">
        <is>
          <t>Open</t>
        </is>
      </c>
      <c r="V72" s="9" t="inlineStr">
        <is>
          <t>Open — awaiting fix</t>
        </is>
      </c>
      <c r="W72" s="7" t="inlineStr"/>
    </row>
    <row r="73">
      <c r="A73" s="6" t="inlineStr">
        <is>
          <t>WC-108</t>
        </is>
      </c>
      <c r="B73" s="7" t="inlineStr">
        <is>
          <t>db_create.py assigns undefined identifiers as database connection settings</t>
        </is>
      </c>
      <c r="C73" s="11" t="inlineStr">
        <is>
          <t>S3 Major</t>
        </is>
      </c>
      <c r="D73" s="7" t="inlineStr">
        <is>
          <t>P3</t>
        </is>
      </c>
      <c r="E73" s="7" t="inlineStr">
        <is>
          <t>All personas / not role-specific</t>
        </is>
      </c>
      <c r="F73" s="7" t="inlineStr">
        <is>
          <t>no screen reaches this; see Steps</t>
        </is>
      </c>
      <c r="G73" s="7" t="inlineStr">
        <is>
          <t>Handover / configuration</t>
        </is>
      </c>
      <c r="H73" s="7" t="inlineStr">
        <is>
          <t>Phase 2</t>
        </is>
      </c>
      <c r="I73" s="7" t="inlineStr">
        <is>
          <t>Source review</t>
        </is>
      </c>
      <c r="J73" s="7" t="inlineStr">
        <is>
          <t>Inspection, not a runtime reproduction.
1. Open Lighthouse-Communities-Foundation/data-pipeline-dashboard, db_create.py:4-8.
2. Confirm what the Actual Result column describes is present (or absent).
3. Full reasoning is in findings/findings-log.md under WC-108.</t>
        </is>
      </c>
      <c r="K73" s="7" t="inlineStr">
        <is>
          <t>Everything needed to build and run the platform is present in the repositories the foundation owns.</t>
        </is>
      </c>
      <c r="L73" s="7" t="inlineStr">
        <is>
          <t>the module cannot run as committed. Low severity: this repository is outside the WeConnect 2.0 platform under test.</t>
        </is>
      </c>
      <c r="M73" s="7" t="inlineStr">
        <is>
          <t>DB_HOST = yor_host_name, DB_NAME = database_name, DB_USER = user_name, DB_PASSWORD = db_password — bare identifiers, not strings, so the module raises NameError on import. Note the typo yor_host_name.</t>
        </is>
      </c>
      <c r="N73" s="7" t="inlineStr">
        <is>
          <t>evidence/doctype-schemas.json · suite/probes/compare-environments.mjs · findings/findings-log.md -&gt; WC-108</t>
        </is>
      </c>
      <c r="O73" s="7" t="inlineStr">
        <is>
          <t>read these from the environment (os.environ), as the Google credentials already are, and remove the placeholders.</t>
        </is>
      </c>
      <c r="P73" s="7" t="inlineStr">
        <is>
          <t>Verified — source</t>
        </is>
      </c>
      <c r="Q73" s="7" t="inlineStr"/>
      <c r="R73" s="9" t="inlineStr">
        <is>
          <t>Open</t>
        </is>
      </c>
      <c r="S73" s="9" t="inlineStr"/>
      <c r="T73" s="9" t="inlineStr"/>
      <c r="U73" s="9" t="inlineStr">
        <is>
          <t>Open</t>
        </is>
      </c>
      <c r="V73" s="9" t="inlineStr">
        <is>
          <t>Open — awaiting fix</t>
        </is>
      </c>
      <c r="W73" s="7" t="inlineStr"/>
    </row>
    <row r="74">
      <c r="A74" s="6" t="inlineStr">
        <is>
          <t>WC-114</t>
        </is>
      </c>
      <c r="B74" s="7" t="inlineStr">
        <is>
          <t>Mass assignment is blocked on one endpoint by design and on another only by an existing defect</t>
        </is>
      </c>
      <c r="C74" s="11" t="inlineStr">
        <is>
          <t>S3 Major</t>
        </is>
      </c>
      <c r="D74" s="7" t="inlineStr">
        <is>
          <t>P3</t>
        </is>
      </c>
      <c r="E74" s="7" t="inlineStr">
        <is>
          <t>Outreach Coordinator, Centre Head, Facilitator and Counsellor, Skilling Partner</t>
        </is>
      </c>
      <c r="F74" s="7" t="inlineStr">
        <is>
          <t>/oc/tasks, /ch/ch-tasks, /ch/individual-target, /ch/staff-monitoring, /fc/tasks, /sp/tasks</t>
        </is>
      </c>
      <c r="G74" s="7" t="inlineStr">
        <is>
          <t>Authorisation</t>
        </is>
      </c>
      <c r="H74" s="7" t="inlineStr">
        <is>
          <t>Phase 2 (security)</t>
        </is>
      </c>
      <c r="I74" s="7" t="inlineStr">
        <is>
          <t>Isolated stack (synthetic data)</t>
        </is>
      </c>
      <c r="J74" s="7" t="inlineStr">
        <is>
          <t>1. Sign in as an authenticated staff account.
2. Call outreach.apis.pre_enquiry.form.update_form_data with the fields it documents PLUS one it never mentions.
3. Read the record back from the database and check whether the undeclared field was written.</t>
        </is>
      </c>
      <c r="K74" s="7" t="inlineStr">
        <is>
          <t>Only the fields the endpoint declares are written. Any other field in the payload is rejected.</t>
        </is>
      </c>
      <c r="L74" s="7" t="inlineStr">
        <is>
          <t>See the register entry for impact.</t>
        </is>
      </c>
      <c r="M74"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4" s="7" t="inlineStr">
        <is>
          <t>suite/probes/mass-assignment-probe.mjs · suite/probes/mass_assignment_scan.py · findings/findings-log.md -&gt; WC-114</t>
        </is>
      </c>
      <c r="O74" s="7" t="inlineStr">
        <is>
          <t>adopt the Pre Enquiry allowlist pattern across every endpoint that accepts a data payload, and add a test asserting that a system-controlled property such as owner or docstatus cannot be set through any of them.</t>
        </is>
      </c>
      <c r="P74" s="7" t="inlineStr">
        <is>
          <t>Verified — runtime, isolated instance</t>
        </is>
      </c>
      <c r="Q74" s="7" t="inlineStr"/>
      <c r="R74" s="9" t="inlineStr">
        <is>
          <t>Open</t>
        </is>
      </c>
      <c r="S74" s="9" t="inlineStr"/>
      <c r="T74" s="9" t="inlineStr"/>
      <c r="U74" s="9" t="inlineStr">
        <is>
          <t>Open</t>
        </is>
      </c>
      <c r="V74" s="9" t="inlineStr">
        <is>
          <t>Open — awaiting fix</t>
        </is>
      </c>
      <c r="W74" s="7" t="inlineStr"/>
    </row>
    <row r="75">
      <c r="A75" s="6" t="inlineStr">
        <is>
          <t>WC-117</t>
        </is>
      </c>
      <c r="B75" s="7" t="inlineStr">
        <is>
          <t>Brute-force lockout is applied per source IP as well as per account, and reports itself as a server error</t>
        </is>
      </c>
      <c r="C75" s="11" t="inlineStr">
        <is>
          <t>S3 Major</t>
        </is>
      </c>
      <c r="D75" s="7" t="inlineStr">
        <is>
          <t>P3</t>
        </is>
      </c>
      <c r="E75" s="7" t="inlineStr">
        <is>
          <t>any persona (login)</t>
        </is>
      </c>
      <c r="F75" s="7" t="inlineStr">
        <is>
          <t>no screen reaches this; see Steps</t>
        </is>
      </c>
      <c r="G75" s="7" t="inlineStr">
        <is>
          <t>Security configuration</t>
        </is>
      </c>
      <c r="H75" s="7" t="inlineStr">
        <is>
          <t>Phase 2 (security)</t>
        </is>
      </c>
      <c r="I75" s="7" t="inlineStr">
        <is>
          <t>Source review</t>
        </is>
      </c>
      <c r="J75" s="7" t="inlineStr">
        <is>
          <t>1. No sign-in needed for the header checks.
2. Issue the request described in the Actual Result column against the deployed host.
3. Inspect the response headers (or the cookie attributes) rather than the body.
4. Fastest route: node verify/run.mjs --only WC-117</t>
        </is>
      </c>
      <c r="K75" s="7" t="inlineStr">
        <is>
          <t>The protective setting is in place and the unsafe request is refused.</t>
        </is>
      </c>
      <c r="L75" s="7" t="inlineStr">
        <is>
          <t>See the register entry for impact.</t>
        </is>
      </c>
      <c r="M75" s="7" t="inlineStr">
        <is>
          <t>after failed attempts against one account, a *different* account was refused from the same address on its first attempt.</t>
        </is>
      </c>
      <c r="N75" s="7" t="inlineStr">
        <is>
          <t>verify/run.mjs · findings/findings-log.md -&gt; WC-117</t>
        </is>
      </c>
      <c r="O75" s="7" t="inlineStr">
        <is>
          <t>return 429 with a Retry-After header rather than 500. Review whether the per-IP tracker is appropriate for a deployment where many legitimate users share an address, and if it is retained, set its threshold well above the per-account one.</t>
        </is>
      </c>
      <c r="P75" s="7" t="inlineStr">
        <is>
          <t>Verified — runtime</t>
        </is>
      </c>
      <c r="Q75" s="7" t="inlineStr"/>
      <c r="R75" s="9" t="inlineStr">
        <is>
          <t>Open</t>
        </is>
      </c>
      <c r="S75" s="9" t="inlineStr"/>
      <c r="T75" s="9" t="inlineStr"/>
      <c r="U75" s="9" t="inlineStr">
        <is>
          <t>Open</t>
        </is>
      </c>
      <c r="V75" s="9" t="inlineStr">
        <is>
          <t>Open — awaiting fix</t>
        </is>
      </c>
      <c r="W75" s="7" t="inlineStr"/>
    </row>
    <row r="76">
      <c r="A76" s="6" t="inlineStr">
        <is>
          <t>WC-127</t>
        </is>
      </c>
      <c r="B76" s="7" t="inlineStr">
        <is>
          <t>Frontend dependencies carry known high-severity advisories, including the HTTP client used by every application</t>
        </is>
      </c>
      <c r="C76" s="11" t="inlineStr">
        <is>
          <t>S3 Major</t>
        </is>
      </c>
      <c r="D76" s="7" t="inlineStr">
        <is>
          <t>P3</t>
        </is>
      </c>
      <c r="E76" s="7" t="inlineStr">
        <is>
          <t>All personas / not role-specific</t>
        </is>
      </c>
      <c r="F76" s="7" t="inlineStr">
        <is>
          <t>no screen reaches this; see Steps</t>
        </is>
      </c>
      <c r="G76" s="7" t="inlineStr">
        <is>
          <t>Build hygiene</t>
        </is>
      </c>
      <c r="H76" s="7" t="inlineStr">
        <is>
          <t>Phase 2 (security)</t>
        </is>
      </c>
      <c r="I76" s="7" t="inlineStr">
        <is>
          <t>Source review</t>
        </is>
      </c>
      <c r="J76"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6" s="7" t="inlineStr">
        <is>
          <t>Build and release hygiene: no development artefacts, warnings or broken copy in a deployed application.</t>
        </is>
      </c>
      <c r="L76" s="7" t="inlineStr">
        <is>
          <t>See the register entry for impact.</t>
        </is>
      </c>
      <c r="M76"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6" s="7" t="inlineStr">
        <is>
          <t>npm audit output per project · findings/findings-log.md -&gt; WC-127</t>
        </is>
      </c>
      <c r="O76"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6" s="7" t="inlineStr">
        <is>
          <t>Verified — npm audit against the committed lockfiles, 2026-10-06</t>
        </is>
      </c>
      <c r="Q76" s="7" t="inlineStr">
        <is>
          <t>2026-10-06</t>
        </is>
      </c>
      <c r="R76" s="9" t="inlineStr">
        <is>
          <t>Open</t>
        </is>
      </c>
      <c r="S76" s="9" t="inlineStr"/>
      <c r="T76" s="9" t="inlineStr"/>
      <c r="U76" s="9" t="inlineStr">
        <is>
          <t>Open</t>
        </is>
      </c>
      <c r="V76" s="9" t="inlineStr">
        <is>
          <t>Open — awaiting fix</t>
        </is>
      </c>
      <c r="W76" s="7" t="inlineStr"/>
    </row>
    <row r="77">
      <c r="A77" s="6" t="inlineStr">
        <is>
          <t>WC-129</t>
        </is>
      </c>
      <c r="B77" s="7" t="inlineStr">
        <is>
          <t>Two live Google API keys are committed to the repositories, one hardcoded in a source file</t>
        </is>
      </c>
      <c r="C77" s="11" t="inlineStr">
        <is>
          <t>S3 Major</t>
        </is>
      </c>
      <c r="D77" s="7" t="inlineStr">
        <is>
          <t>P3</t>
        </is>
      </c>
      <c r="E77" s="7" t="inlineStr">
        <is>
          <t>not role-specific</t>
        </is>
      </c>
      <c r="F77" s="7" t="inlineStr">
        <is>
          <t>no screen reaches this; see Steps</t>
        </is>
      </c>
      <c r="G77" s="7" t="inlineStr">
        <is>
          <t>Build hygiene</t>
        </is>
      </c>
      <c r="H77" s="7" t="inlineStr">
        <is>
          <t>Phase 2 (security)</t>
        </is>
      </c>
      <c r="I77" s="7" t="inlineStr">
        <is>
          <t>Source review</t>
        </is>
      </c>
      <c r="J77"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7" s="7" t="inlineStr">
        <is>
          <t>No API key is committed; keys live in the build environment and are restricted by HTTP referrer.</t>
        </is>
      </c>
      <c r="L77" s="7" t="inlineStr">
        <is>
          <t>Keys with the AIzaSy prefix are what automated scanners harvest from public repositories, and this repository has been public twice. The protection here is incidental, not designed.</t>
        </is>
      </c>
      <c r="M77"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7" s="7" t="inlineStr">
        <is>
          <t>source + live key test · findings/findings-log.md -&gt; WC-129</t>
        </is>
      </c>
      <c r="O77" s="7" t="inlineStr">
        <is>
          <t>Rotate both keys in the Google Cloud console (deleting the lines does not help — they are in git history). Move the replacement into the build environment, restrict by HTTP referrer to the foundation's hosts, and remove the hardcoded key from google-map.jsx.</t>
        </is>
      </c>
      <c r="P77" s="7" t="inlineStr">
        <is>
          <t>Verified — source</t>
        </is>
      </c>
      <c r="Q77" s="7" t="inlineStr">
        <is>
          <t>2026-10-06</t>
        </is>
      </c>
      <c r="R77" s="9" t="inlineStr">
        <is>
          <t>Open</t>
        </is>
      </c>
      <c r="S77" s="9" t="inlineStr"/>
      <c r="T77" s="9" t="inlineStr"/>
      <c r="U77" s="9" t="inlineStr">
        <is>
          <t>Open</t>
        </is>
      </c>
      <c r="V77" s="9" t="inlineStr">
        <is>
          <t>Partially fixed — source hardcode gone; key still committed in .env/.env.prod/.env.uat (rotate + purge history)</t>
        </is>
      </c>
      <c r="W77" s="7" t="inlineStr"/>
    </row>
    <row r="78">
      <c r="A78" s="6" t="inlineStr">
        <is>
          <t>WC-130</t>
        </is>
      </c>
      <c r="B78" s="7" t="inlineStr">
        <is>
          <t>Backend-supplied content is rendered as raw HTML, giving a stored cross-site scripting path</t>
        </is>
      </c>
      <c r="C78" s="11" t="inlineStr">
        <is>
          <t>S3 Major</t>
        </is>
      </c>
      <c r="D78" s="7" t="inlineStr">
        <is>
          <t>P3</t>
        </is>
      </c>
      <c r="E78" s="7" t="inlineStr">
        <is>
          <t>Outreach Coordinator (community dashboard viewer)</t>
        </is>
      </c>
      <c r="F78" s="7" t="inlineStr">
        <is>
          <t>/oc community dashboard (outreach-community)</t>
        </is>
      </c>
      <c r="G78" s="7" t="inlineStr">
        <is>
          <t>Frontend</t>
        </is>
      </c>
      <c r="H78" s="7" t="inlineStr">
        <is>
          <t>Phase 2 (security)</t>
        </is>
      </c>
      <c r="I78" s="7" t="inlineStr">
        <is>
          <t>Source review</t>
        </is>
      </c>
      <c r="J78"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8" s="7" t="inlineStr">
        <is>
          <t>User-supplied content is escaped or sanitised before rendering; raw HTML is not injected.</t>
        </is>
      </c>
      <c r="L78" s="7" t="inlineStr">
        <is>
          <t>If the strategy text is writable by any persona, a script stored in that field executes in the browser of every user who opens the community dashboard — stored XSS. If only administrators can write it, the practical risk is small.</t>
        </is>
      </c>
      <c r="M78" s="7" t="inlineStr">
        <is>
          <t>One dangerouslySetInnerHTML across the entire frontend estate, at target-card.jsx:147, rendering the backend-supplied 'strategy' string as raw HTML. Whether the field is user-writable is not yet confirmed.</t>
        </is>
      </c>
      <c r="N78" s="7" t="inlineStr">
        <is>
          <t>source: target-card.jsx:147 · findings/findings-log.md -&gt; WC-130</t>
        </is>
      </c>
      <c r="O78" s="7" t="inlineStr">
        <is>
          <t>If the field only needs bold or line breaks, render as text and format in the component. If HTML must be supported, sanitise on input with an allowlist (DOMPurify). First answer: who can edit the recommended strategy text?</t>
        </is>
      </c>
      <c r="P78" s="7" t="inlineStr">
        <is>
          <t>Verified — source</t>
        </is>
      </c>
      <c r="Q78" s="7" t="inlineStr">
        <is>
          <t>2026-10-06</t>
        </is>
      </c>
      <c r="R78" s="9" t="inlineStr">
        <is>
          <t>Open</t>
        </is>
      </c>
      <c r="S78" s="9" t="inlineStr"/>
      <c r="T78" s="9" t="inlineStr"/>
      <c r="U78" s="9" t="inlineStr">
        <is>
          <t>Open</t>
        </is>
      </c>
      <c r="V78" s="9" t="inlineStr">
        <is>
          <t>Fixed (retest 2026-10-20) — stored-XSS sink removed; zero dangerouslySetInnerHTML</t>
        </is>
      </c>
      <c r="W78" s="7" t="inlineStr"/>
    </row>
    <row r="79">
      <c r="A79" s="6" t="inlineStr">
        <is>
          <t>WC-134</t>
        </is>
      </c>
      <c r="B79" s="7" t="inlineStr">
        <is>
          <t>264 image elements across the frontend have no alt attribute, concentrated in shared components</t>
        </is>
      </c>
      <c r="C79" s="11" t="inlineStr">
        <is>
          <t>S3 Major</t>
        </is>
      </c>
      <c r="D79" s="7" t="inlineStr">
        <is>
          <t>P3</t>
        </is>
      </c>
      <c r="E79" s="7" t="inlineStr">
        <is>
          <t>all personas</t>
        </is>
      </c>
      <c r="F79" s="7" t="inlineStr">
        <is>
          <t>shared components + 107 page-level</t>
        </is>
      </c>
      <c r="G79" s="7" t="inlineStr">
        <is>
          <t>Accessibility</t>
        </is>
      </c>
      <c r="H79" s="7" t="inlineStr">
        <is>
          <t>Phase 2 (security)</t>
        </is>
      </c>
      <c r="I79" s="7" t="inlineStr">
        <is>
          <t>Source review</t>
        </is>
      </c>
      <c r="J79" s="7" t="inlineStr">
        <is>
          <t>1. In any frontend repo run: grep -rn '&lt;img' src; grep -v alt= (or run axe DevTools on any page).
2. Confirm the &lt;img&gt; elements have no alt attribute.
3. Start with the 157 in shared/common components — fixing those helps every screen that uses them.</t>
        </is>
      </c>
      <c r="K79" s="7" t="inlineStr">
        <is>
          <t>Every &lt;img&gt; has an alt attribute: descriptive for meaningful images, empty (alt="") for decorative ones.</t>
        </is>
      </c>
      <c r="L79" s="7" t="inlineStr">
        <is>
          <t>An &lt;img&gt; with no alt is invisible to a screen reader or announced by filename. A WCAG 2.1 AA gap (1.1.1), compounding WC-027.</t>
        </is>
      </c>
      <c r="M79" s="7" t="inlineStr">
        <is>
          <t>264 &lt;img&gt; with no alt across the estate — SM 72, SP 59, SYC 49, FC 27, persona-common 27, CH 17, OC 13. 157 sit in shared components.</t>
        </is>
      </c>
      <c r="N79" s="7" t="inlineStr">
        <is>
          <t>source scan: 264 across 8 repos · findings/findings-log.md -&gt; WC-134</t>
        </is>
      </c>
      <c r="O79" s="7" t="inlineStr">
        <is>
          <t>Add alt="" to decorative images and a short description to meaningful ones, shared components first. Add the jsx-a11y/alt-text lint rule to prevent recurrence.</t>
        </is>
      </c>
      <c r="P79" s="7" t="inlineStr">
        <is>
          <t>Verified — source, all eight repos</t>
        </is>
      </c>
      <c r="Q79" s="7" t="inlineStr">
        <is>
          <t>2026-10-06</t>
        </is>
      </c>
      <c r="R79" s="9" t="inlineStr">
        <is>
          <t>Open</t>
        </is>
      </c>
      <c r="S79" s="9" t="inlineStr"/>
      <c r="T79" s="9" t="inlineStr"/>
      <c r="U79" s="9" t="inlineStr">
        <is>
          <t>Open</t>
        </is>
      </c>
      <c r="V79" s="9" t="inlineStr">
        <is>
          <t>Partially fixed — 204 img without alt (was 264)</t>
        </is>
      </c>
      <c r="W79" s="7" t="inlineStr"/>
    </row>
    <row r="80">
      <c r="A80" s="6" t="inlineStr">
        <is>
          <t>WC-136</t>
        </is>
      </c>
      <c r="B80" s="7" t="inlineStr">
        <is>
          <t>Seven further routes throw an uncaught error and blank the screen for an account with no assigned centres</t>
        </is>
      </c>
      <c r="C80" s="11" t="inlineStr">
        <is>
          <t>S3 Major</t>
        </is>
      </c>
      <c r="D80" s="7" t="inlineStr">
        <is>
          <t>P3</t>
        </is>
      </c>
      <c r="E80" s="7" t="inlineStr">
        <is>
          <t>OC, CH, FC — any account with no assigned centres</t>
        </is>
      </c>
      <c r="F80" s="7" t="inlineStr">
        <is>
          <t>7 routes (see steps)</t>
        </is>
      </c>
      <c r="G80" s="7" t="inlineStr">
        <is>
          <t>Frontend</t>
        </is>
      </c>
      <c r="H80" s="7" t="inlineStr">
        <is>
          <t>Phase 2 (security)</t>
        </is>
      </c>
      <c r="I80" s="7" t="inlineStr">
        <is>
          <t>UAT / dev (read-only, interaction sweep)</t>
        </is>
      </c>
      <c r="J80"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K80" s="7" t="inlineStr">
        <is>
          <t>A screen loaded by an account with no data shows an empty state, not a blank crash.</t>
        </is>
      </c>
      <c r="L80" s="7" t="inlineStr">
        <is>
          <t>These screens assume data is present and throw when permitted_centres is empty — a real state for newly-onboarded staff. With no error boundary (WC-133), the whole screen blanks. Same family as WC-043.</t>
        </is>
      </c>
      <c r="M80" s="7" t="inlineStr">
        <is>
          <t>Uncaught JS errors on: fc/view-feedBack ('Cannot destructure property youthId of null'), ch/budget-profile, ch/program-targets, ch/person-wise-target, ch/person-wise-target-planning, oc/outreach-planning-dashboard, oc/batch-management/merge-batch.</t>
        </is>
      </c>
      <c r="N80" s="7" t="inlineStr">
        <is>
          <t>data/interaction-findings.json · findings/findings-log.md -&gt; WC-136</t>
        </is>
      </c>
      <c r="O80" s="7" t="inlineStr">
        <is>
          <t>Guard the data access on these screens (optional chaining + an explicit empty state), and add the WC-133 error boundary so any residual crash is contained. fc/view-feedBack: guard the youthId destructure.</t>
        </is>
      </c>
      <c r="P80" s="7" t="inlineStr">
        <is>
          <t>Verified — runtime interaction sweep</t>
        </is>
      </c>
      <c r="Q80" s="7" t="inlineStr">
        <is>
          <t>2026-10-06</t>
        </is>
      </c>
      <c r="R80" s="9" t="inlineStr">
        <is>
          <t>Open</t>
        </is>
      </c>
      <c r="S80" s="9" t="inlineStr"/>
      <c r="T80" s="9" t="inlineStr"/>
      <c r="U80" s="9" t="inlineStr">
        <is>
          <t>Open</t>
        </is>
      </c>
      <c r="V80" s="9" t="inlineStr">
        <is>
          <t>Open — awaiting fix</t>
        </is>
      </c>
      <c r="W80" s="7" t="inlineStr"/>
    </row>
    <row r="81">
      <c r="A81" s="6" t="inlineStr">
        <is>
          <t>WC-007</t>
        </is>
      </c>
      <c r="B81" s="7" t="inlineStr">
        <is>
          <t>Source-tree asset path in built app</t>
        </is>
      </c>
      <c r="C81" s="12" t="inlineStr">
        <is>
          <t>S4 Minor</t>
        </is>
      </c>
      <c r="D81" s="7" t="inlineStr">
        <is>
          <t>P4</t>
        </is>
      </c>
      <c r="E81" s="7" t="inlineStr">
        <is>
          <t>All personas / not role-specific</t>
        </is>
      </c>
      <c r="F81" s="7" t="inlineStr">
        <is>
          <t>no screen reaches this; see Steps</t>
        </is>
      </c>
      <c r="G81" s="7" t="inlineStr">
        <is>
          <t>Build hygiene</t>
        </is>
      </c>
      <c r="H81" s="7" t="inlineStr">
        <is>
          <t>Phase 1</t>
        </is>
      </c>
      <c r="I81" s="7" t="inlineStr">
        <is>
          <t>Source review</t>
        </is>
      </c>
      <c r="J81" s="7" t="inlineStr">
        <is>
          <t>Inspection, not a runtime reproduction.
1. Open the built bundle of any persona app — search it for source-tree asset paths.
2. Confirm what the Actual Result column describes is present (or absent).
3. Full reasoning is in findings/findings-log.md under WC-007.</t>
        </is>
      </c>
      <c r="K81" s="7" t="inlineStr">
        <is>
          <t>Build and release hygiene: no development artefacts, warnings or broken copy in a deployed application.</t>
        </is>
      </c>
      <c r="L81" s="7" t="inlineStr">
        <is>
          <t>See the register entry for impact.</t>
        </is>
      </c>
      <c r="M81" s="7" t="inlineStr">
        <is>
          <t>login requests /src/assets/icons/logo_transparent.png (unbundled source path)</t>
        </is>
      </c>
      <c r="N81" s="7" t="inlineStr">
        <is>
          <t>findings/findings-log.md -&gt; WC-007</t>
        </is>
      </c>
      <c r="O81" s="7" t="inlineStr">
        <is>
          <t>import the asset so the bundler fingerprints and rewrites its path, rather than referencing /src/... literally. As shipped the path only resolves by accident of how the site is served, and will 404 under any stricter static configuration.</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WC-008</t>
        </is>
      </c>
      <c r="B82" s="7" t="inlineStr">
        <is>
          <t>Broken grammar in user-facing error</t>
        </is>
      </c>
      <c r="C82" s="12" t="inlineStr">
        <is>
          <t>S4 Minor</t>
        </is>
      </c>
      <c r="D82" s="7" t="inlineStr">
        <is>
          <t>P4</t>
        </is>
      </c>
      <c r="E82" s="7" t="inlineStr">
        <is>
          <t>All personas / not role-specific</t>
        </is>
      </c>
      <c r="F82" s="7" t="inlineStr">
        <is>
          <t>no screen reaches this; see Steps</t>
        </is>
      </c>
      <c r="G82" s="7" t="inlineStr">
        <is>
          <t>Build hygiene</t>
        </is>
      </c>
      <c r="H82" s="7" t="inlineStr">
        <is>
          <t>Phase 1</t>
        </is>
      </c>
      <c r="I82" s="7" t="inlineStr">
        <is>
          <t>UAT / dev (read-only)</t>
        </is>
      </c>
      <c r="J82" s="7" t="inlineStr">
        <is>
          <t>Inspection, not a runtime reproduction.
1. Open the user-facing error string named in the Actual Result column.
2. Confirm what the Actual Result column describes is present (or absent).
3. Full reasoning is in findings/findings-log.md under WC-008.</t>
        </is>
      </c>
      <c r="K82" s="7" t="inlineStr">
        <is>
          <t>Build and release hygiene: no development artefacts, warnings or broken copy in a deployed application.</t>
        </is>
      </c>
      <c r="L82" s="7" t="inlineStr">
        <is>
          <t>See the register entry for impact.</t>
        </is>
      </c>
      <c r="M82" s="7" t="inlineStr">
        <is>
          <t>"Failed to Target data." (FC dashboard target fetch failure)</t>
        </is>
      </c>
      <c r="N82" s="7" t="inlineStr">
        <is>
          <t>findings/findings-log.md -&gt; WC-008</t>
        </is>
      </c>
      <c r="O82" s="7" t="inlineStr">
        <is>
          <t>correct the string to a sentence — for example "Could not load target data." The same screen's underlying 404 is recorded separately; this item is only the wording.</t>
        </is>
      </c>
      <c r="P82" s="7" t="inlineStr">
        <is>
          <t>Not recorded</t>
        </is>
      </c>
      <c r="Q82" s="7" t="inlineStr"/>
      <c r="R82" s="9" t="inlineStr">
        <is>
          <t>Open</t>
        </is>
      </c>
      <c r="S82" s="9" t="inlineStr"/>
      <c r="T82" s="9" t="inlineStr"/>
      <c r="U82" s="9" t="inlineStr">
        <is>
          <t>Open</t>
        </is>
      </c>
      <c r="V82" s="9" t="inlineStr">
        <is>
          <t>Open — awaiting fix</t>
        </is>
      </c>
      <c r="W82" s="7" t="inlineStr"/>
    </row>
    <row r="83">
      <c r="A83" s="6" t="inlineStr">
        <is>
          <t>WC-009</t>
        </is>
      </c>
      <c r="B83" s="7" t="inlineStr">
        <is>
          <t>React Router v6 future-flag warnings</t>
        </is>
      </c>
      <c r="C83" s="12" t="inlineStr">
        <is>
          <t>S4 Minor</t>
        </is>
      </c>
      <c r="D83" s="7" t="inlineStr">
        <is>
          <t>P4</t>
        </is>
      </c>
      <c r="E83" s="7" t="inlineStr">
        <is>
          <t>All personas / not role-specific</t>
        </is>
      </c>
      <c r="F83" s="7" t="inlineStr">
        <is>
          <t>no screen reaches this; see Steps</t>
        </is>
      </c>
      <c r="G83" s="7" t="inlineStr">
        <is>
          <t>Build hygiene</t>
        </is>
      </c>
      <c r="H83" s="7" t="inlineStr">
        <is>
          <t>Phase 1</t>
        </is>
      </c>
      <c r="I83" s="7" t="inlineStr">
        <is>
          <t>UAT / dev (read-only)</t>
        </is>
      </c>
      <c r="J83" s="7" t="inlineStr">
        <is>
          <t>Inspection, not a runtime reproduction.
1. Open the browser console on any route of any persona app.
2. Confirm what the Actual Result column describes is present (or absent).
3. Full reasoning is in findings/findings-log.md under WC-009.</t>
        </is>
      </c>
      <c r="K83" s="7" t="inlineStr">
        <is>
          <t>Build and release hygiene: no development artefacts, warnings or broken copy in a deployed application.</t>
        </is>
      </c>
      <c r="L83" s="7" t="inlineStr">
        <is>
          <t>See the register entry for impact.</t>
        </is>
      </c>
      <c r="M83" s="7" t="inlineStr">
        <is>
          <t>console warnings, v7_startTransition / v7_relativeSplatPath. Tech-debt, not user-facing.</t>
        </is>
      </c>
      <c r="N83" s="7" t="inlineStr">
        <is>
          <t>findings/findings-log.md -&gt; WC-009</t>
        </is>
      </c>
      <c r="O83"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3" s="7" t="inlineStr">
        <is>
          <t>Not recorded</t>
        </is>
      </c>
      <c r="Q83" s="7" t="inlineStr"/>
      <c r="R83" s="9" t="inlineStr">
        <is>
          <t>Open</t>
        </is>
      </c>
      <c r="S83" s="9" t="inlineStr"/>
      <c r="T83" s="9" t="inlineStr"/>
      <c r="U83" s="9" t="inlineStr">
        <is>
          <t>Open</t>
        </is>
      </c>
      <c r="V83" s="9" t="inlineStr">
        <is>
          <t>Open — awaiting fix</t>
        </is>
      </c>
      <c r="W83" s="7" t="inlineStr"/>
    </row>
    <row r="84">
      <c r="A84" s="6" t="inlineStr">
        <is>
          <t>WC-010</t>
        </is>
      </c>
      <c r="B84" s="7" t="inlineStr">
        <is>
          <t>Doubled route segment</t>
        </is>
      </c>
      <c r="C84" s="12" t="inlineStr">
        <is>
          <t>S4 Minor</t>
        </is>
      </c>
      <c r="D84" s="7" t="inlineStr">
        <is>
          <t>P4</t>
        </is>
      </c>
      <c r="E84" s="7" t="inlineStr">
        <is>
          <t>Facilitator and Counsellor</t>
        </is>
      </c>
      <c r="F84" s="7" t="inlineStr">
        <is>
          <t>no screen reaches this; see Steps</t>
        </is>
      </c>
      <c r="G84" s="7" t="inlineStr">
        <is>
          <t>Build hygiene</t>
        </is>
      </c>
      <c r="H84" s="7" t="inlineStr">
        <is>
          <t>Phase 1</t>
        </is>
      </c>
      <c r="I84" s="7" t="inlineStr">
        <is>
          <t>UAT / dev (read-only)</t>
        </is>
      </c>
      <c r="J84" s="7" t="inlineStr">
        <is>
          <t>Inspection, not a runtime reproduction.
1. Open /fc/fc/all-batches.
2. Confirm what the Actual Result column describes is present (or absent).
3. Full reasoning is in findings/findings-log.md under WC-010.</t>
        </is>
      </c>
      <c r="K84" s="7" t="inlineStr">
        <is>
          <t>Build and release hygiene: no development artefacts, warnings or broken copy in a deployed application.</t>
        </is>
      </c>
      <c r="L84" s="7" t="inlineStr">
        <is>
          <t>See the register entry for impact.</t>
        </is>
      </c>
      <c r="M84" s="7" t="inlineStr">
        <is>
          <t>FC nav links use /fc/fc/all-batches, /fc/fc/counselling, /fc/fc/tasks (double fc). Works, but smells like a base-path bug.</t>
        </is>
      </c>
      <c r="N84" s="7" t="inlineStr">
        <is>
          <t>test-results-run2/sweep-route-sweep--fc-rout-8f432--fc-all-batches-AllBatches--fc/test-failed-1.png · test-results-run1/sweep-route-sweep--fc-rout-d2783-nselling-CareerCounselling--fc-retry1/test-failed-1.png · findings/findings-log.md -&gt; WC-010</t>
        </is>
      </c>
      <c r="O84"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4" s="7" t="inlineStr">
        <is>
          <t>Not recorded</t>
        </is>
      </c>
      <c r="Q84" s="7" t="inlineStr"/>
      <c r="R84" s="9" t="inlineStr">
        <is>
          <t>Open</t>
        </is>
      </c>
      <c r="S84" s="9" t="inlineStr"/>
      <c r="T84" s="9" t="inlineStr"/>
      <c r="U84" s="9" t="inlineStr">
        <is>
          <t>Open</t>
        </is>
      </c>
      <c r="V84" s="9" t="inlineStr">
        <is>
          <t>Open — awaiting fix</t>
        </is>
      </c>
      <c r="W84" s="7" t="inlineStr"/>
    </row>
    <row r="85">
      <c r="A85" s="6" t="inlineStr">
        <is>
          <t>WC-032</t>
        </is>
      </c>
      <c r="B85" s="7" t="inlineStr">
        <is>
          <t>Dead anchors (href="#") in navigation</t>
        </is>
      </c>
      <c r="C85" s="12" t="inlineStr">
        <is>
          <t>S4 Minor</t>
        </is>
      </c>
      <c r="D85" s="7" t="inlineStr">
        <is>
          <t>P4</t>
        </is>
      </c>
      <c r="E85" s="7" t="inlineStr">
        <is>
          <t>All personas / not role-specific</t>
        </is>
      </c>
      <c r="F85" s="7" t="inlineStr">
        <is>
          <t>no screen reaches this; see Steps</t>
        </is>
      </c>
      <c r="G85" s="7" t="inlineStr">
        <is>
          <t>Frontend</t>
        </is>
      </c>
      <c r="H85" s="7" t="inlineStr">
        <is>
          <t>Phase 1</t>
        </is>
      </c>
      <c r="I85" s="7" t="inlineStr">
        <is>
          <t>UAT / dev (read-only)</t>
        </is>
      </c>
      <c r="J85"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5" s="7" t="inlineStr">
        <is>
          <t>The screen renders its content when the URL is opened directly, refreshed, or reached from a bookmark.</t>
        </is>
      </c>
      <c r="L85" s="7" t="inlineStr">
        <is>
          <t>minor individually; the login-page one matters more because it is the only password recovery path a locked-out user can see.</t>
        </is>
      </c>
      <c r="M85" s="7" t="inlineStr">
        <is>
          <t>10 across the sampled routes — CH 6, FC 3, and "Forgot Password?" on the shared login page. They render as links, respond to hover, and do nothing when clicked.</t>
        </is>
      </c>
      <c r="N85" s="7" t="inlineStr">
        <is>
          <t>findings/findings-log.md -&gt; WC-032</t>
        </is>
      </c>
      <c r="O85"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5" s="7" t="inlineStr">
        <is>
          <t>Verified</t>
        </is>
      </c>
      <c r="Q85" s="7" t="inlineStr"/>
      <c r="R85" s="9" t="inlineStr">
        <is>
          <t>Open</t>
        </is>
      </c>
      <c r="S85" s="9" t="inlineStr"/>
      <c r="T85" s="9" t="inlineStr"/>
      <c r="U85" s="9" t="inlineStr">
        <is>
          <t>Open</t>
        </is>
      </c>
      <c r="V85" s="9" t="inlineStr">
        <is>
          <t>Open — awaiting fix</t>
        </is>
      </c>
      <c r="W85" s="7" t="inlineStr"/>
    </row>
    <row r="86">
      <c r="A86" s="6" t="inlineStr">
        <is>
          <t>WC-041</t>
        </is>
      </c>
      <c r="B86" s="7" t="inlineStr">
        <is>
          <t>Developer test route shipped in the deployed Outreach Coordinator application</t>
        </is>
      </c>
      <c r="C86" s="12" t="inlineStr">
        <is>
          <t>S4 Minor</t>
        </is>
      </c>
      <c r="D86" s="7" t="inlineStr">
        <is>
          <t>P4</t>
        </is>
      </c>
      <c r="E86" s="7" t="inlineStr">
        <is>
          <t>Outreach Coordinator</t>
        </is>
      </c>
      <c r="F86" s="7" t="inlineStr">
        <is>
          <t>no screen reaches this; see Steps</t>
        </is>
      </c>
      <c r="G86" s="7" t="inlineStr">
        <is>
          <t>Build hygiene</t>
        </is>
      </c>
      <c r="H86" s="7" t="inlineStr">
        <is>
          <t>Phase 1</t>
        </is>
      </c>
      <c r="I86" s="7" t="inlineStr">
        <is>
          <t>UAT / dev (read-only)</t>
        </is>
      </c>
      <c r="J86" s="7" t="inlineStr">
        <is>
          <t>Inspection, not a runtime reproduction.
1. Open /oc/test-zustand, defined in the OC application's router and reachable in UAT.
2. Confirm what the Actual Result column describes is present (or absent).
3. Full reasoning is in findings/findings-log.md under WC-041.</t>
        </is>
      </c>
      <c r="K86" s="7" t="inlineStr">
        <is>
          <t>Build and release hygiene: no development artefacts, warnings or broken copy in a deployed application.</t>
        </is>
      </c>
      <c r="L86" s="7" t="inlineStr">
        <is>
          <t>low in itself — but development routes in a deployed build are unreviewed surface. They are not designed against a permission model and are rarely considered when access control is audited.</t>
        </is>
      </c>
      <c r="M86" s="7" t="inlineStr">
        <is>
          <t>present in the deployed route inventory; named for the state-management library, indicating a development scratch screen rather than a user-facing feature.</t>
        </is>
      </c>
      <c r="N86" s="7" t="inlineStr">
        <is>
          <t>findings/findings-log.md -&gt; WC-041</t>
        </is>
      </c>
      <c r="O86" s="7" t="inlineStr">
        <is>
          <t>exclude development routes from production builds, or gate them behind a build flag.</t>
        </is>
      </c>
      <c r="P86" s="7" t="inlineStr">
        <is>
          <t>Verified</t>
        </is>
      </c>
      <c r="Q86" s="7" t="inlineStr"/>
      <c r="R86" s="9" t="inlineStr">
        <is>
          <t>Open</t>
        </is>
      </c>
      <c r="S86" s="9" t="inlineStr"/>
      <c r="T86" s="9" t="inlineStr"/>
      <c r="U86" s="9" t="inlineStr">
        <is>
          <t>Open</t>
        </is>
      </c>
      <c r="V86" s="9" t="inlineStr">
        <is>
          <t>Open — awaiting fix</t>
        </is>
      </c>
      <c r="W86" s="7" t="inlineStr"/>
    </row>
    <row r="87">
      <c r="A87" s="6" t="inlineStr">
        <is>
          <t>WC-063</t>
        </is>
      </c>
      <c r="B87" s="7" t="inlineStr">
        <is>
          <t>A stale doctype folder declares the same name as its replacement</t>
        </is>
      </c>
      <c r="C87" s="12" t="inlineStr">
        <is>
          <t>S4 Minor</t>
        </is>
      </c>
      <c r="D87" s="7" t="inlineStr">
        <is>
          <t>P4</t>
        </is>
      </c>
      <c r="E87" s="7" t="inlineStr">
        <is>
          <t>All personas / not role-specific</t>
        </is>
      </c>
      <c r="F87" s="7" t="inlineStr">
        <is>
          <t>no screen reaches this; see Steps</t>
        </is>
      </c>
      <c r="G87" s="7" t="inlineStr">
        <is>
          <t>Handover / configuration</t>
        </is>
      </c>
      <c r="H87" s="7" t="inlineStr">
        <is>
          <t>Phase 2</t>
        </is>
      </c>
      <c r="I87" s="7" t="inlineStr">
        <is>
          <t>UAT / dev (read-only)</t>
        </is>
      </c>
      <c r="J87"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7" s="7" t="inlineStr">
        <is>
          <t>Everything needed to build and run the platform is present in the repositories the foundation owns.</t>
        </is>
      </c>
      <c r="L87"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7"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7" s="7" t="inlineStr">
        <is>
          <t>evidence/doctype-schemas.json · suite/probes/compare-environments.mjs · findings/findings-log.md -&gt; WC-063</t>
        </is>
      </c>
      <c r="O87" s="7" t="inlineStr">
        <is>
          <t>delete the google_form_settings/ folder.</t>
        </is>
      </c>
      <c r="P87" s="7" t="inlineStr">
        <is>
          <t>Verified</t>
        </is>
      </c>
      <c r="Q87" s="7" t="inlineStr"/>
      <c r="R87" s="9" t="inlineStr">
        <is>
          <t>Open</t>
        </is>
      </c>
      <c r="S87" s="9" t="inlineStr"/>
      <c r="T87" s="9" t="inlineStr"/>
      <c r="U87" s="9" t="inlineStr">
        <is>
          <t>Open</t>
        </is>
      </c>
      <c r="V87" s="9" t="inlineStr">
        <is>
          <t>Open — awaiting fix</t>
        </is>
      </c>
      <c r="W87" s="7" t="inlineStr"/>
    </row>
    <row r="88">
      <c r="A88" s="6" t="inlineStr">
        <is>
          <t>WC-120</t>
        </is>
      </c>
      <c r="B88" s="7" t="inlineStr">
        <is>
          <t>File upload accepts any type and any size, though two controls reduce the impact</t>
        </is>
      </c>
      <c r="C88" s="12" t="inlineStr">
        <is>
          <t>S4 Minor</t>
        </is>
      </c>
      <c r="D88" s="7" t="inlineStr">
        <is>
          <t>P4</t>
        </is>
      </c>
      <c r="E88" s="7" t="inlineStr">
        <is>
          <t>All personas / not role-specific</t>
        </is>
      </c>
      <c r="F88" s="7" t="inlineStr">
        <is>
          <t>no screen reaches this; see Steps</t>
        </is>
      </c>
      <c r="G88" s="7" t="inlineStr">
        <is>
          <t>Authorisation</t>
        </is>
      </c>
      <c r="H88" s="7" t="inlineStr">
        <is>
          <t>Phase 2 (security)</t>
        </is>
      </c>
      <c r="I88" s="7" t="inlineStr">
        <is>
          <t>Source review</t>
        </is>
      </c>
      <c r="J88"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8" s="7" t="inlineStr">
        <is>
          <t>The endpoint checks the caller's authorisation before acting, and refuses the call when the caller is not permitted.</t>
        </is>
      </c>
      <c r="L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8" s="7" t="inlineStr">
        <is>
          <t>evidence/gate-probe-results.json · evidence/bypass-endpoints.json · suite/probes/gate-probe.mjs · findings/findings-log.md -&gt; WC-120</t>
        </is>
      </c>
      <c r="O88" s="7" t="inlineStr">
        <is>
          <t>add an extension/type allowlist appropriate to the documents these forms expect (PDF and common image types), enforce a maximum size, and derive the content type from the file content rather than its name.</t>
        </is>
      </c>
      <c r="P88" s="7" t="inlineStr">
        <is>
          <t>Verified — source</t>
        </is>
      </c>
      <c r="Q88" s="7" t="inlineStr"/>
      <c r="R88" s="9" t="inlineStr">
        <is>
          <t>Open</t>
        </is>
      </c>
      <c r="S88" s="9" t="inlineStr"/>
      <c r="T88" s="9" t="inlineStr"/>
      <c r="U88" s="9" t="inlineStr">
        <is>
          <t>Open</t>
        </is>
      </c>
      <c r="V88" s="9" t="inlineStr">
        <is>
          <t>Open — awaiting fix</t>
        </is>
      </c>
      <c r="W88" s="7" t="inlineStr"/>
    </row>
  </sheetData>
  <autoFilter ref="A1:W88"/>
  <dataValidations count="1">
    <dataValidation sqref="R2:R88"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Backend defects — back-end team</t>
        </is>
      </c>
    </row>
    <row r="2">
      <c r="A2" s="13" t="inlineStr">
        <is>
          <t>Defects fixed in the backend applications (Python / Frappe). 66 of 87 defects. Same rows as the master Bugs tab, filtered to the backend team's work.</t>
        </is>
      </c>
    </row>
    <row r="3"/>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WC-048</t>
        </is>
      </c>
      <c r="B5" s="7" t="inlineStr">
        <is>
          <t>Youth counselling records disclosed to a persona with no permission for those centres</t>
        </is>
      </c>
      <c r="C5" s="8" t="inlineStr">
        <is>
          <t>S1 Blocker</t>
        </is>
      </c>
      <c r="D5" s="7" t="inlineStr">
        <is>
          <t>P1</t>
        </is>
      </c>
      <c r="E5" s="7" t="inlineStr">
        <is>
          <t>Outreach Coordinator (reads Facilitator and Counsellor data)</t>
        </is>
      </c>
      <c r="F5" s="7" t="inlineStr">
        <is>
          <t>facilitator_and_counsellor.api.counselling.list.get_counselling_list, called with the Outreach Coordinator credential.</t>
        </is>
      </c>
      <c r="G5"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H5" s="7" t="inlineStr">
        <is>
          <t>The call is refused for a centre the account has no permission over. No record is returned and no record is changed.</t>
        </is>
      </c>
      <c r="I5"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J5"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 (full detail in the findings register)</t>
        </is>
      </c>
      <c r="K5" s="9" t="inlineStr">
        <is>
          <t>Open</t>
        </is>
      </c>
    </row>
    <row r="6">
      <c r="A6" s="6" t="inlineStr">
        <is>
          <t>WC-084</t>
        </is>
      </c>
      <c r="B6" s="7" t="inlineStr">
        <is>
          <t>An account can close another centre's batch, with no permission for that centre</t>
        </is>
      </c>
      <c r="C6" s="8" t="inlineStr">
        <is>
          <t>S1 Blocker</t>
        </is>
      </c>
      <c r="D6" s="7" t="inlineStr">
        <is>
          <t>P1</t>
        </is>
      </c>
      <c r="E6" s="7" t="inlineStr">
        <is>
          <t>Skilling Partner (acts on another centre's batch)</t>
        </is>
      </c>
      <c r="F6" s="7" t="inlineStr">
        <is>
          <t>youth_skilling.api.batch_management.close_batch(batch_id, short_remarks), @frappe.whitelist(methods=["POST"]).</t>
        </is>
      </c>
      <c r="G6"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H6" s="7" t="inlineStr">
        <is>
          <t>The call is refused for a centre the account has no permission over. No record is returned and no record is changed.</t>
        </is>
      </c>
      <c r="I6"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J6" s="7" t="inlineStr">
        <is>
          <t>check location_lcf against the caller's permitted_centres before closing, and remove ignore_permissions=True from the save. The same fix pattern applies across the class.</t>
        </is>
      </c>
      <c r="K6" s="9" t="inlineStr">
        <is>
          <t>Open</t>
        </is>
      </c>
    </row>
    <row r="7">
      <c r="A7" s="6" t="inlineStr">
        <is>
          <t>WC-095</t>
        </is>
      </c>
      <c r="B7" s="7" t="inlineStr">
        <is>
          <t>An account can raise another centre's financial invoice, with no permission for that centre</t>
        </is>
      </c>
      <c r="C7" s="8" t="inlineStr">
        <is>
          <t>S1 Blocker</t>
        </is>
      </c>
      <c r="D7" s="7" t="inlineStr">
        <is>
          <t>P1</t>
        </is>
      </c>
      <c r="E7" s="7" t="inlineStr">
        <is>
          <t>Skilling Partner (acts on another centre's invoice)</t>
        </is>
      </c>
      <c r="F7" s="7" t="inlineStr">
        <is>
          <t>youth_skilling.api.invoice.raise_invoice(invoice_id, batch_id, center, installment, ...), @frappe.whitelist(methods=["PUT"]).</t>
        </is>
      </c>
      <c r="G7"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H7" s="7" t="inlineStr">
        <is>
          <t>The call is refused for a centre the account has no permission over. No record is returned and no record is changed.</t>
        </is>
      </c>
      <c r="I7"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(full detail in the findings register)</t>
        </is>
      </c>
      <c r="J7" s="7" t="inlineStr">
        <is>
          <t>derive center from the caller's permitted scope; do not accept it as a parameter; remove ignore_permissions=True. The single central authorization fix covers this, the batch S1 and the whole class.</t>
        </is>
      </c>
      <c r="K7" s="9" t="inlineStr">
        <is>
          <t>Open</t>
        </is>
      </c>
    </row>
    <row r="8">
      <c r="A8" s="6" t="inlineStr">
        <is>
          <t>WC-003</t>
        </is>
      </c>
      <c r="B8" s="7" t="inlineStr">
        <is>
          <t>Real program PII present in UAT</t>
        </is>
      </c>
      <c r="C8" s="10" t="inlineStr">
        <is>
          <t>S2 Critical</t>
        </is>
      </c>
      <c r="D8" s="7" t="inlineStr">
        <is>
          <t>P1</t>
        </is>
      </c>
      <c r="E8" s="7" t="inlineStr">
        <is>
          <t>All personas / not role-specific</t>
        </is>
      </c>
      <c r="F8" s="7" t="inlineStr">
        <is>
          <t>FC dashboard, Batches list</t>
        </is>
      </c>
      <c r="G8" s="7" t="inlineStr">
        <is>
          <t>1. Sign in as an authenticated staff account and note the permitted_centres in the login response.
2. Call FC dashboard, Batches list.
3. Compare the centre on every returned record against that permitted list.</t>
        </is>
      </c>
      <c r="H8" s="7" t="inlineStr">
        <is>
          <t>Only data the account is permitted to see is returned, and lower environments hold no real programme data.</t>
        </is>
      </c>
      <c r="I8" s="7" t="inlineStr">
        <is>
          <t>real batch codes, youth counts, real locations (Bhawani Peth, Pune)</t>
        </is>
      </c>
      <c r="J8" s="7" t="inlineStr">
        <is>
          <t>See register.</t>
        </is>
      </c>
      <c r="K8" s="9" t="inlineStr">
        <is>
          <t>Open</t>
        </is>
      </c>
    </row>
    <row r="9">
      <c r="A9" s="6" t="inlineStr">
        <is>
          <t>WC-023</t>
        </is>
      </c>
      <c r="B9" s="7" t="inlineStr">
        <is>
          <t>Server stack traces returned in the standard API error envelope</t>
        </is>
      </c>
      <c r="C9" s="10" t="inlineStr">
        <is>
          <t>S2 Critical</t>
        </is>
      </c>
      <c r="D9" s="7" t="inlineStr">
        <is>
          <t>P1</t>
        </is>
      </c>
      <c r="E9" s="7" t="inlineStr">
        <is>
          <t>no account required (unauthenticated)</t>
        </is>
      </c>
      <c r="F9" s="7" t="inlineStr">
        <is>
          <t>/sp/screening-schedule</t>
        </is>
      </c>
      <c r="G9"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H9" s="7" t="inlineStr">
        <is>
          <t>A 4xx response with a message the caller can act on. No stack trace and no HTTP 500.</t>
        </is>
      </c>
      <c r="I9" s="7" t="inlineStr">
        <is>
          <t>HTTP 500 with a JSON body (1,705 chars) containing exception, exc_type, _exc_source, exc. The exc field carries a full Python traceback including server filesystem paths. exc_type is NameError.</t>
        </is>
      </c>
      <c r="J9" s="7" t="inlineStr">
        <is>
          <t>disable client-facing traceback rendering in the deployed site config, and return 403 from this endpoint for roles without screening access. Then fix the NameError.</t>
        </is>
      </c>
      <c r="K9" s="9" t="inlineStr">
        <is>
          <t>Open</t>
        </is>
      </c>
    </row>
    <row r="10">
      <c r="A10" s="6" t="inlineStr">
        <is>
          <t>WC-035</t>
        </is>
      </c>
      <c r="B10" s="7" t="inlineStr">
        <is>
          <t>Personas receive records belonging entirely to centres they are not permitted for</t>
        </is>
      </c>
      <c r="C10" s="10" t="inlineStr">
        <is>
          <t>S2 Critical</t>
        </is>
      </c>
      <c r="D10" s="7" t="inlineStr">
        <is>
          <t>P1</t>
        </is>
      </c>
      <c r="E10" s="7" t="inlineStr">
        <is>
          <t>Skilling Partner / Skilling Manager</t>
        </is>
      </c>
      <c r="F10" s="7" t="inlineStr">
        <is>
          <t>/sm/batch-management, /sm/budget, /sm/discontinued-skilling-tables, /sp/approvals, /sp/follow-ups, /sp/screening-schedul</t>
        </is>
      </c>
      <c r="G10"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H10" s="7" t="inlineStr">
        <is>
          <t>The value is rejected with HTTP 400 and a message naming the field, and nothing is stored.</t>
        </is>
      </c>
      <c r="I10"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J10"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 (full detail in the findings register)</t>
        </is>
      </c>
      <c r="K10" s="9" t="inlineStr">
        <is>
          <t>Open</t>
        </is>
      </c>
    </row>
    <row r="11">
      <c r="A11" s="6" t="inlineStr">
        <is>
          <t>WC-038</t>
        </is>
      </c>
      <c r="B11" s="7" t="inlineStr">
        <is>
          <t>Opening the invoice screen attempts to create a tax invoice, with no user action</t>
        </is>
      </c>
      <c r="C11" s="10" t="inlineStr">
        <is>
          <t>S2 Critical</t>
        </is>
      </c>
      <c r="D11" s="7" t="inlineStr">
        <is>
          <t>P1</t>
        </is>
      </c>
      <c r="E11" s="7" t="inlineStr">
        <is>
          <t>Skilling Manager, Skilling Partner</t>
        </is>
      </c>
      <c r="F11" s="7" t="inlineStr">
        <is>
          <t>/sp/invoicing/view-batch-invoice/prepare-invoice/:batchId/:installment/:centerName and the equivalent /sm/invoicing-management/... route.</t>
        </is>
      </c>
      <c r="G11"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H11" s="7" t="inlineStr">
        <is>
          <t>Repeating the same call does not repeat its effect.</t>
        </is>
      </c>
      <c r="I11" s="7" t="inlineStr">
        <is>
          <t>on page load, with no interaction whatsoever, the application issues POST .../youth_skilling.api.invoice.prepare_tax_invoice?batch_id=&lt;batch&gt;&amp;installment=1&amp;center=&lt;centre&gt;. Reproduced on both the Skilling Partner and Skilling Manager applications.</t>
        </is>
      </c>
      <c r="J11" s="7" t="inlineStr">
        <is>
          <t>the screen should load its data with a GET and perform invoice preparation only on explicit user confirmation.</t>
        </is>
      </c>
      <c r="K11" s="9" t="inlineStr">
        <is>
          <t>Open</t>
        </is>
      </c>
    </row>
    <row r="12">
      <c r="A12" s="6" t="inlineStr">
        <is>
          <t>WC-043</t>
        </is>
      </c>
      <c r="B12" s="7" t="inlineStr">
        <is>
          <t>Blank routes are crashing on null navigation state</t>
        </is>
      </c>
      <c r="C12" s="10" t="inlineStr">
        <is>
          <t>S2 Critical</t>
        </is>
      </c>
      <c r="D12" s="7" t="inlineStr">
        <is>
          <t>P1</t>
        </is>
      </c>
      <c r="E12" s="7" t="inlineStr">
        <is>
          <t>Facilitator and Counsellor</t>
        </is>
      </c>
      <c r="F12" s="7" t="inlineStr"/>
      <c r="G12"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H12" s="7" t="inlineStr">
        <is>
          <t>A 4xx response with a message the caller can act on. No stack trace and no HTTP 500.</t>
        </is>
      </c>
      <c r="I12"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J12" s="7" t="inlineStr">
        <is>
          <t>read identifiers from URL parameters rather than router state, and guard the state access (location.state?.batchId). The identifier is already in the URL for the :batchId routes, so the data needed is present. It is simply not being read from there.</t>
        </is>
      </c>
      <c r="K12" s="9" t="inlineStr">
        <is>
          <t>Open</t>
        </is>
      </c>
    </row>
    <row r="13">
      <c r="A13" s="6" t="inlineStr">
        <is>
          <t>WC-068</t>
        </is>
      </c>
      <c r="B13" s="7" t="inlineStr">
        <is>
          <t>The complete API specification is published to unauthenticated callers</t>
        </is>
      </c>
      <c r="C13" s="10" t="inlineStr">
        <is>
          <t>S2 Critical</t>
        </is>
      </c>
      <c r="D13" s="7" t="inlineStr">
        <is>
          <t>P1</t>
        </is>
      </c>
      <c r="E13" s="7" t="inlineStr">
        <is>
          <t>no account required (unauthenticated)</t>
        </is>
      </c>
      <c r="F13" s="7" t="inlineStr">
        <is>
          <t>three OpenAPI endpoints, all declared @frappe.whitelist(allow_guest=True):; Endpoint; Paths documented; Size; youth_skilling.api.docs.swagger_spec; 185; 373 KB; youth_skilling.api.docs.swagger_spec_placement; 145; 288 KB; batch_management.api.docs.swagger_spec; 23; 7 KB</t>
        </is>
      </c>
      <c r="G13" s="7" t="inlineStr">
        <is>
          <t>1. Sign in as an authenticated staff account — any authenticated account is enough.
2. Call youth_skilling.api.docs.swagger_spec with no special privileges.
3. Observe that the call is accepted rather than refused, and check whether anything changed.</t>
        </is>
      </c>
      <c r="H13" s="7" t="inlineStr">
        <is>
          <t>The endpoint checks the caller's authorisation before acting, and refuses the call when the caller is not permitted.</t>
        </is>
      </c>
      <c r="I13" s="7" t="inlineStr">
        <is>
          <t>GET {BACKEND}/api/method/youth_skilling.api.docs.swagger_spec with no Authorization header returns HTTP 200 and the full specification.</t>
        </is>
      </c>
      <c r="J13" s="7" t="inlineStr">
        <is>
          <t>remove allow_guest=True from the three swagger_spec functions. The specifications remain available to authenticated staff, which is presumably the intent. This is a one-word change in three places.</t>
        </is>
      </c>
      <c r="K13" s="9" t="inlineStr">
        <is>
          <t>Open</t>
        </is>
      </c>
    </row>
    <row r="14">
      <c r="A14" s="6" t="inlineStr">
        <is>
          <t>WC-073</t>
        </is>
      </c>
      <c r="B14" s="7" t="inlineStr">
        <is>
          <t>The platform's permission design forces over-privileged accounts or bypasses permissions entirely</t>
        </is>
      </c>
      <c r="C14" s="10" t="inlineStr">
        <is>
          <t>S2 Critical</t>
        </is>
      </c>
      <c r="D14" s="7" t="inlineStr">
        <is>
          <t>P1</t>
        </is>
      </c>
      <c r="E14" s="7" t="inlineStr">
        <is>
          <t>Outreach Coordinator, Centre Head, Facilitator and Counsellor, Skilling Partner</t>
        </is>
      </c>
      <c r="F14" s="7" t="inlineStr">
        <is>
          <t>/oc/tasks, /ch/ch-tasks, /ch/individual-target, /ch/staff-monitoring, /fc/tasks, /sp/tasks</t>
        </is>
      </c>
      <c r="G14" s="7" t="inlineStr">
        <is>
          <t>1. Sign in as an authenticated staff account — any authenticated account is enough.
2. Call outreach.apis.task.task.create_task with no special privileges.
3. Observe that the call is accepted rather than refused, and check whether anything changed.</t>
        </is>
      </c>
      <c r="H14" s="7" t="inlineStr">
        <is>
          <t>The endpoint checks the caller's authorisation before acting, and refuses the call when the caller is not permitted.</t>
        </is>
      </c>
      <c r="I14" s="7" t="inlineStr">
        <is>
          <t>Fact; Value; WeConnect doctypes; 293; granting only System Manager; 178; granting no role at all; 115; granting any other role; 0; API endpoints passing ignore_permissions=True; 296 of 866.</t>
        </is>
      </c>
      <c r="J14" s="7" t="inlineStr">
        <is>
          <t>define roles per persona with appropriate doctype permissions and assign them through role profiles, so authorisation is a property of the framework rather than of whether each endpoint remembered to check.</t>
        </is>
      </c>
      <c r="K14" s="9" t="inlineStr">
        <is>
          <t>Open</t>
        </is>
      </c>
    </row>
    <row r="15">
      <c r="A15" s="6" t="inlineStr">
        <is>
          <t>WC-077</t>
        </is>
      </c>
      <c r="B15" s="7" t="inlineStr">
        <is>
          <t>An unauthenticated endpoint attempts to provision a System Manager account</t>
        </is>
      </c>
      <c r="C15" s="10" t="inlineStr">
        <is>
          <t>S2 Critical</t>
        </is>
      </c>
      <c r="D15" s="7" t="inlineStr">
        <is>
          <t>P1</t>
        </is>
      </c>
      <c r="E15" s="7" t="inlineStr">
        <is>
          <t>no account required (unauthenticated)</t>
        </is>
      </c>
      <c r="F15" s="7" t="inlineStr">
        <is>
          <t>weconnect-backend-authentication, authentication/api/registration.py, create_user(email, first_name, last_name), decorated @frappe.whitelist(methods=["POST"], allow_guest=True).</t>
        </is>
      </c>
      <c r="G15"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H15" s="7" t="inlineStr">
        <is>
          <t>The endpoint checks the caller's authorisation before acting, and refuses the call when the caller is not permitted.</t>
        </is>
      </c>
      <c r="I15" s="7" t="inlineStr">
        <is>
          <t>An unauthenticated endpoint attempts to provision a System Manager account.</t>
        </is>
      </c>
      <c r="J15"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K15" s="9" t="inlineStr">
        <is>
          <t>Open</t>
        </is>
      </c>
    </row>
    <row r="16">
      <c r="A16" s="6" t="inlineStr">
        <is>
          <t>WC-078</t>
        </is>
      </c>
      <c r="B16" s="7" t="inlineStr">
        <is>
          <t>Any authenticated user can delete any file by URL (no ownership check)</t>
        </is>
      </c>
      <c r="C16" s="10" t="inlineStr">
        <is>
          <t>S2 Critical</t>
        </is>
      </c>
      <c r="D16" s="7" t="inlineStr">
        <is>
          <t>P1</t>
        </is>
      </c>
      <c r="E16" s="7" t="inlineStr">
        <is>
          <t>any authenticated account</t>
        </is>
      </c>
      <c r="F16" s="7" t="inlineStr">
        <is>
          <t>weconnect-backend-outreach, outreach/apis/registration/files.py, delete_file_by_url(), @frappe.whitelist(methods=["POST"]).</t>
        </is>
      </c>
      <c r="G16"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H16" s="7" t="inlineStr">
        <is>
          <t>The endpoint checks the caller's authorisation before acting, and refuses the call when the caller is not permitted.</t>
        </is>
      </c>
      <c r="I16"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J16" s="7" t="inlineStr">
        <is>
          <t>verify the caller owns or has permission for the file's parent document before deleting; scope the lookup to files the caller may access; and log the deletion with the actor.</t>
        </is>
      </c>
      <c r="K16" s="9" t="inlineStr">
        <is>
          <t>Open</t>
        </is>
      </c>
    </row>
    <row r="17">
      <c r="A17" s="6" t="inlineStr">
        <is>
          <t>WC-079</t>
        </is>
      </c>
      <c r="B17" s="7" t="inlineStr">
        <is>
          <t>Systemic: mutating endpoints bypass permissions with no authorization check</t>
        </is>
      </c>
      <c r="C17" s="10" t="inlineStr">
        <is>
          <t>S2 Critical</t>
        </is>
      </c>
      <c r="D17" s="7" t="inlineStr">
        <is>
          <t>P1</t>
        </is>
      </c>
      <c r="E17" s="7" t="inlineStr">
        <is>
          <t>Centre Head, Skilling Partner</t>
        </is>
      </c>
      <c r="F17" s="7" t="inlineStr"/>
      <c r="G17"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H17" s="7" t="inlineStr">
        <is>
          <t>The endpoint checks the caller's authorisation before acting, and refuses the call when the caller is not permitted.</t>
        </is>
      </c>
      <c r="I17"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J17"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K17" s="9" t="inlineStr">
        <is>
          <t>Open</t>
        </is>
      </c>
    </row>
    <row r="18">
      <c r="A18" s="6" t="inlineStr">
        <is>
          <t>WC-085</t>
        </is>
      </c>
      <c r="B18" s="7" t="inlineStr">
        <is>
          <t>Financial endpoints share the confirmed cross-centre write gap</t>
        </is>
      </c>
      <c r="C18" s="10" t="inlineStr">
        <is>
          <t>S2 Critical</t>
        </is>
      </c>
      <c r="D18" s="7" t="inlineStr">
        <is>
          <t>P1</t>
        </is>
      </c>
      <c r="E18" s="7" t="inlineStr">
        <is>
          <t>All personas / not role-specific</t>
        </is>
      </c>
      <c r="F18" s="7" t="inlineStr">
        <is>
          <t>youth_skilling.api.invoice.raise_invoice(invoice_id, batch_id, center, installment, ...) and youth_skilling.api.invoice.prepare_tax_invoice(batch_id, installment, center).</t>
        </is>
      </c>
      <c r="G18"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H18" s="7" t="inlineStr">
        <is>
          <t>The call is refused for a centre the account has no permission over. No record is returned and no record is changed.</t>
        </is>
      </c>
      <c r="I18" s="7" t="inlineStr">
        <is>
          <t>Financial endpoints share the confirmed cross-centre write gap.</t>
        </is>
      </c>
      <c r="J18" s="7" t="inlineStr">
        <is>
          <t>derive center from the caller's permitted scope rather than accepting it as a parameter, and remove ignore_permissions=True. Same pattern as the close_batch fix.</t>
        </is>
      </c>
      <c r="K18" s="9" t="inlineStr">
        <is>
          <t>Open</t>
        </is>
      </c>
    </row>
    <row r="19">
      <c r="A19" s="6" t="inlineStr">
        <is>
          <t>WC-088</t>
        </is>
      </c>
      <c r="B19" s="7" t="inlineStr">
        <is>
          <t>Enquiry Form status change is completely broken by a variable typo</t>
        </is>
      </c>
      <c r="C19" s="10" t="inlineStr">
        <is>
          <t>S2 Critical</t>
        </is>
      </c>
      <c r="D19" s="7" t="inlineStr">
        <is>
          <t>P1</t>
        </is>
      </c>
      <c r="E19" s="7" t="inlineStr">
        <is>
          <t>All personas / not role-specific</t>
        </is>
      </c>
      <c r="F19" s="7" t="inlineStr"/>
      <c r="G19"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H19" s="7" t="inlineStr">
        <is>
          <t>A 4xx response with a message the caller can act on. No stack trace and no HTTP 500.</t>
        </is>
      </c>
      <c r="I19" s="7" t="inlineStr">
        <is>
          <t>A valid Enquiry Form was created and its status change attempted through the API; the endpoint returned HTTP 500 UnboundLocalError. Confirmed against source.</t>
        </is>
      </c>
      <c r="J19" s="7" t="inlineStr">
        <is>
          <t>ids = json.loads(ids). A one-word correction, and a test that calls the endpoint would have caught it — which is the point of this phase.</t>
        </is>
      </c>
      <c r="K19" s="9" t="inlineStr">
        <is>
          <t>Open</t>
        </is>
      </c>
    </row>
    <row r="20">
      <c r="A20" s="6" t="inlineStr">
        <is>
          <t>WC-105</t>
        </is>
      </c>
      <c r="B20" s="7" t="inlineStr">
        <is>
          <t>Systemic: data scoping is disabled for System Manager in application code, at 45 sites, while the platform forces that role onto every staff account</t>
        </is>
      </c>
      <c r="C20" s="10" t="inlineStr">
        <is>
          <t>S2 Critical</t>
        </is>
      </c>
      <c r="D20" s="7" t="inlineStr">
        <is>
          <t>P1</t>
        </is>
      </c>
      <c r="E20" s="7" t="inlineStr">
        <is>
          <t>All personas / not role-specific</t>
        </is>
      </c>
      <c r="F20" s="7" t="inlineStr"/>
      <c r="G20"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H20" s="7" t="inlineStr">
        <is>
          <t>The call is refused for a centre the account has no permission over. No record is returned and no record is changed.</t>
        </is>
      </c>
      <c r="I20"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J20"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K20" s="9" t="inlineStr">
        <is>
          <t>Open</t>
        </is>
      </c>
    </row>
    <row r="21">
      <c r="A21" s="6" t="inlineStr">
        <is>
          <t>WC-115</t>
        </is>
      </c>
      <c r="B21" s="7" t="inlineStr">
        <is>
          <t>Any authenticated account, including an external partner, can trigger a bulk export of programme data to an external Google Sheet</t>
        </is>
      </c>
      <c r="C21" s="10" t="inlineStr">
        <is>
          <t>S2 Critical</t>
        </is>
      </c>
      <c r="D21" s="7" t="inlineStr">
        <is>
          <t>P1</t>
        </is>
      </c>
      <c r="E21" s="7" t="inlineStr">
        <is>
          <t>any authenticated account, including an external partner</t>
        </is>
      </c>
      <c r="F21" s="7" t="inlineStr">
        <is>
          <t>outreach.apis.lcf_mastersheet_sync.sync_to_lcf_mastersheet, @frappe.whitelist(methods=["POST"]).</t>
        </is>
      </c>
      <c r="G21"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H21" s="7" t="inlineStr">
        <is>
          <t>The endpoint checks the caller's authorisation before acting, and refuses the call when the caller is not permitted.</t>
        </is>
      </c>
      <c r="I21"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J21"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K21" s="9" t="inlineStr">
        <is>
          <t>Open</t>
        </is>
      </c>
    </row>
    <row r="22">
      <c r="A22" s="6" t="inlineStr">
        <is>
          <t>WC-131</t>
        </is>
      </c>
      <c r="B22" s="7" t="inlineStr">
        <is>
          <t>The password-reset OTP is a four-digit number with a short expiry, drawn with a non-cryptographic generator</t>
        </is>
      </c>
      <c r="C22" s="10" t="inlineStr">
        <is>
          <t>S2 Critical</t>
        </is>
      </c>
      <c r="D22" s="7" t="inlineStr">
        <is>
          <t>P1</t>
        </is>
      </c>
      <c r="E22" s="7" t="inlineStr">
        <is>
          <t>any account (reset is by email, unauthenticated)</t>
        </is>
      </c>
      <c r="F22" s="7" t="inlineStr"/>
      <c r="G22"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H22" s="7" t="inlineStr">
        <is>
          <t>A reset code is drawn with a cryptographic generator, is long enough to resist guessing, and verification is attempt-limited.</t>
        </is>
      </c>
      <c r="I22" s="7" t="inlineStr">
        <is>
          <t>generate_otp() returns random.randint(1111, 9999). verify_otp has no attempt limit. Expiry is 3 minutes. reset_password is allow_guest=True.</t>
        </is>
      </c>
      <c r="J22"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K22" s="9" t="inlineStr">
        <is>
          <t>Open</t>
        </is>
      </c>
    </row>
    <row r="23">
      <c r="A23" s="6" t="inlineStr">
        <is>
          <t>WC-002</t>
        </is>
      </c>
      <c r="B23" s="7" t="inlineStr">
        <is>
          <t>Target Data API returns 404</t>
        </is>
      </c>
      <c r="C23" s="10" t="inlineStr">
        <is>
          <t>S2 Critical</t>
        </is>
      </c>
      <c r="D23" s="7" t="inlineStr">
        <is>
          <t>P2</t>
        </is>
      </c>
      <c r="E23" s="7" t="inlineStr">
        <is>
          <t>Centre Head, Facilitator and Counsellor</t>
        </is>
      </c>
      <c r="F23" s="7" t="inlineStr">
        <is>
          <t>/ch/, /fc/, /fc/all-batches</t>
        </is>
      </c>
      <c r="G23" s="7" t="inlineStr">
        <is>
          <t>1. Sign in as an authenticated staff account and open centre_head.api.target.main_dashboard.main_target (the Target Data widget's API) with the browser network tab open.
2. Find the failing request in the network log.
3. Note its URL and status code.</t>
        </is>
      </c>
      <c r="H23" s="7" t="inlineStr">
        <is>
          <t>The endpoint the screen calls exists on the deployed build and returns its data.</t>
        </is>
      </c>
      <c r="I23" s="7" t="inlineStr">
        <is>
          <t>404; widget shows "Data not available.".</t>
        </is>
      </c>
      <c r="J23"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K23" s="9" t="inlineStr">
        <is>
          <t>Open</t>
        </is>
      </c>
    </row>
    <row r="24">
      <c r="A24" s="6" t="inlineStr">
        <is>
          <t>WC-011</t>
        </is>
      </c>
      <c r="B24" s="7" t="inlineStr">
        <is>
          <t>Client-side auth guard is hardcoded to true (disabled)</t>
        </is>
      </c>
      <c r="C24" s="10" t="inlineStr">
        <is>
          <t>S2 Critical</t>
        </is>
      </c>
      <c r="D24" s="7" t="inlineStr">
        <is>
          <t>P2</t>
        </is>
      </c>
      <c r="E24" s="7" t="inlineStr">
        <is>
          <t>Facilitator and Counsellor, any persona (login)</t>
        </is>
      </c>
      <c r="F24" s="7" t="inlineStr">
        <is>
          <t>weconnect-frontend-fc, src/components/layout/authenticate-route.jsx</t>
        </is>
      </c>
      <c r="G24" s="7" t="inlineStr">
        <is>
          <t>1. Sign in as Facilitator and Counsellor — any authenticated account is enough.
2. Call /fc/all-batches with no special privileges.
3. Observe that the call is accepted rather than refused, and check whether anything changed.</t>
        </is>
      </c>
      <c r="H24" s="7" t="inlineStr">
        <is>
          <t>The endpoint checks the caller's authorisation before acting, and refuses the call when the caller is not permitted.</t>
        </is>
      </c>
      <c r="I24" s="7" t="inlineStr">
        <is>
          <t>const isAuthenticated = true; — the route guard never reads auth state. The redirect-to-login branch is dead code. URLs.Login isn't even defined in routes.js (would ReferenceError if that branch ever ran).</t>
        </is>
      </c>
      <c r="J24" s="7" t="inlineStr">
        <is>
          <t>See register.</t>
        </is>
      </c>
      <c r="K24" s="9" t="inlineStr">
        <is>
          <t>Open</t>
        </is>
      </c>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1. Sign in as Skilling Youth Coordinator.
2. Open the curriculum screen, or call youth_skilling.api.curriculum.curriculum_list directly with valid arguments.
3. Read the HTTP status. The call fails on a correctly formed request, not only on a malformed one.</t>
        </is>
      </c>
      <c r="H25" s="7" t="inlineStr">
        <is>
          <t>A 4xx response with a message the caller can act on. No stack trace and no HTTP 500.</t>
        </is>
      </c>
      <c r="I25" s="7" t="inlineStr">
        <is>
          <t>page shell renders (~140 chars) but a backend data call returns HTTP 500.</t>
        </is>
      </c>
      <c r="J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K25" s="9" t="inlineStr">
        <is>
          <t>Open</t>
        </is>
      </c>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c r="G26" s="7" t="inlineStr">
        <is>
          <t>1. Drive /fc/family-counselling with several sessions at once, increasing concurrency step by step.
2. Record the HTTP status and response time at each level.
3. Note the point at which results stop being consistent.</t>
        </is>
      </c>
      <c r="H26" s="7" t="inlineStr">
        <is>
          <t>The endpoint responds within the expected load without degrading, and large result sets are paginated.</t>
        </is>
      </c>
      <c r="I26" s="7" t="inlineStr">
        <is>
          <t>at 6 parallel workers many data endpoints returned 500; at ≤3 workers / serialized they return 200. Backend stability/scaling concern. Recommend a dedicated load test.</t>
        </is>
      </c>
      <c r="J26" s="7" t="inlineStr">
        <is>
          <t>size the worker pool for the expected concurrency, and return 503 with a retry hint when saturated rather than 500 with a traceback. A 500 tells a client its request was wrong; a 503 tells it to retry, which is the truthful answer under load.</t>
        </is>
      </c>
      <c r="K26" s="9" t="inlineStr">
        <is>
          <t>Open</t>
        </is>
      </c>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c r="G27" s="7" t="inlineStr">
        <is>
          <t>1. Drive the backend, driven at 3 then 5 concurrent sessions with several sessions at once, increasing concurrency step by step.
2. Record the HTTP status and response time at each level.
3. Note the point at which results stop being consistent.</t>
        </is>
      </c>
      <c r="H27" s="7" t="inlineStr">
        <is>
          <t>The endpoint responds within the expected load without degrading, and large result sets are paginated.</t>
        </is>
      </c>
      <c r="I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J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K27" s="9" t="inlineStr">
        <is>
          <t>Open</t>
        </is>
      </c>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c r="G28" s="7" t="inlineStr">
        <is>
          <t>Inspection, not a runtime reproduction.
1. Open frappe.utils.change_log.get_versions.
2. Confirm what the Actual Result column describes is present (or absent).
3. Full reasoning is in findings/findings-log.md under WC-058.</t>
        </is>
      </c>
      <c r="H28" s="7" t="inlineStr">
        <is>
          <t>Everything needed to build and run the platform is present in the repositories the foundation owns.</t>
        </is>
      </c>
      <c r="I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J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K28" s="9" t="inlineStr">
        <is>
          <t>Open</t>
        </is>
      </c>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c r="G29" s="7" t="inlineStr">
        <is>
          <t>Inspection, not a runtime reproduction.
1. Open the Role Profile and DocPerm records — absent from all eighteen repositories.
2. Confirm what the Actual Result column describes is present (or absent).
3. Full reasoning is in findings/findings-log.md under WC-069.</t>
        </is>
      </c>
      <c r="H29" s="7" t="inlineStr">
        <is>
          <t>Everything needed to build and run the platform is present in the repositories the foundation owns.</t>
        </is>
      </c>
      <c r="I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J29" s="7" t="inlineStr">
        <is>
          <t>export the roles, role profiles and permission rules as app fixtures so they are versioned with the code that depends on them.</t>
        </is>
      </c>
      <c r="K29" s="9" t="inlineStr">
        <is>
          <t>Open</t>
        </is>
      </c>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c r="G30" s="7" t="inlineStr">
        <is>
          <t>Inspection, not a runtime reproduction.
1. Open sites/common_site_config.json and the per-site site_config.json.
2. Confirm what the Actual Result column describes is present (or absent).
3. Full reasoning is in findings/findings-log.md under WC-087.</t>
        </is>
      </c>
      <c r="H30" s="7" t="inlineStr">
        <is>
          <t>Everything needed to build and run the platform is present in the repositories the foundation owns.</t>
        </is>
      </c>
      <c r="I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J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K30" s="9" t="inlineStr">
        <is>
          <t>Open</t>
        </is>
      </c>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c r="G31" s="7" t="inlineStr">
        <is>
          <t>Inspection, not a runtime reproduction.
1. Open frappe.db.exists("Role", "Skilling Partner").
2. Confirm what the Actual Result column describes is present (or absent).
3. Full reasoning is in findings/findings-log.md under WC-091.</t>
        </is>
      </c>
      <c r="H31" s="7" t="inlineStr">
        <is>
          <t>Everything needed to build and run the platform is present in the repositories the foundation owns.</t>
        </is>
      </c>
      <c r="I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J31" s="7" t="inlineStr">
        <is>
          <t>ship the roles (and role profiles, and the permission rules that reference them) as fixtures, so a fresh install has the access-control model the code assumes.</t>
        </is>
      </c>
      <c r="K31" s="9" t="inlineStr">
        <is>
          <t>Open</t>
        </is>
      </c>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1. Sign in as Administrator, the highest-privilege account available.
2. Call the affected endpoint over HTTP with valid arguments.
3. The call returns 403 even for Administrator, while the same function succeeds when invoked directly on the server.</t>
        </is>
      </c>
      <c r="H32" s="7" t="inlineStr">
        <is>
          <t>A 4xx response with a message the caller can act on. No stack trace and no HTTP 500.</t>
        </is>
      </c>
      <c r="I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J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K32" s="9" t="inlineStr">
        <is>
          <t>Open</t>
        </is>
      </c>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youth_skilling/.../doctype/skilling_batch_attendance/skilling_batch_attendance.py:190, and the same pair of values in skilling_batch.py:292 and api/batch_management.py:5418.</t>
        </is>
      </c>
      <c r="G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H33" s="7" t="inlineStr">
        <is>
          <t>Everything needed to build and run the platform is present in the repositories the foundation owns.</t>
        </is>
      </c>
      <c r="I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J33" s="7" t="inlineStr">
        <is>
          <t>ship the Youth Status master as app fixtures, including every value the code writes. A test that asserts each status literal in the codebase exists in the master would have caught this.</t>
        </is>
      </c>
      <c r="K33" s="9" t="inlineStr">
        <is>
          <t>Open</t>
        </is>
      </c>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c r="G34" s="7" t="inlineStr">
        <is>
          <t>1. Sign in as Centre Head and note the permitted_centres in the login response.
2. Call .env.uat and .env.prod in all nine frontend repositories.
3. Compare the centre on every returned record against that permitted list.</t>
        </is>
      </c>
      <c r="H34" s="7" t="inlineStr">
        <is>
          <t>Only data the account is permitted to see is returned, and lower environments hold no real programme data.</t>
        </is>
      </c>
      <c r="I34" s="7" t="inlineStr">
        <is>
          <t>This supersedes and sharpens the earlier "UAT frontend calls the DEV backend API" finding, which recorded one symptom. The defect is uniform and it is committed. - Evidence. Every frontend repository plus the shared component library (9 of 9):</t>
        </is>
      </c>
      <c r="J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K34" s="9" t="inlineStr">
        <is>
          <t>Open</t>
        </is>
      </c>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weconnect-frontend-auth, src/routes.js — the post-login routing table that decides which application an account is sent to, keyed by role_profile.</t>
        </is>
      </c>
      <c r="G35" s="7" t="inlineStr">
        <is>
          <t>1. Sign in as Outreach Coordinator and open /oc/ with the browser network tab open.
2. Find the failing request in the network log.
3. Note its URL and status code.</t>
        </is>
      </c>
      <c r="H35" s="7" t="inlineStr">
        <is>
          <t>The endpoint the screen calls exists on the deployed build and returns its data.</t>
        </is>
      </c>
      <c r="I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 (full detail in the findings register)</t>
        </is>
      </c>
      <c r="J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(full detail in the findings register)</t>
        </is>
      </c>
      <c r="K35" s="9" t="inlineStr">
        <is>
          <t>Open</t>
        </is>
      </c>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c r="G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H36" s="7" t="inlineStr">
        <is>
          <t>Everything needed to build and run the platform is present in the repositories the foundation owns.</t>
        </is>
      </c>
      <c r="I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J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K36" s="9" t="inlineStr">
        <is>
          <t>Open</t>
        </is>
      </c>
    </row>
    <row r="37">
      <c r="A37" s="6" t="inlineStr">
        <is>
          <t>WC-118</t>
        </is>
      </c>
      <c r="B37" s="7" t="inlineStr">
        <is>
          <t>No rate limiting on authenticated API requests, on a backend that fails at five concurrent sessions</t>
        </is>
      </c>
      <c r="C37" s="10" t="inlineStr">
        <is>
          <t>S2 Critical</t>
        </is>
      </c>
      <c r="D37" s="7" t="inlineStr">
        <is>
          <t>P2</t>
        </is>
      </c>
      <c r="E37" s="7" t="inlineStr">
        <is>
          <t>Skilling Manager, Skilling Partner, Skilling Youth Coordinator, Placement Manager</t>
        </is>
      </c>
      <c r="F37" s="7" t="inlineStr">
        <is>
          <t>/sm/, /sm/add-course, /sm/add-skilling-partner, /sp/approvals, /sp/assessment, /sp/assignment, /syc/assign-skilling-reco</t>
        </is>
      </c>
      <c r="G37" s="7" t="inlineStr">
        <is>
          <t>1. No sign-in needed for the header checks.
2. Issue the request described in the Actual Result column against the deployed host.
3. Inspect the response headers (or the cookie attributes) rather than the body.
4. Fastest route: node verify/run.mjs --only WC-118</t>
        </is>
      </c>
      <c r="H37" s="7" t="inlineStr">
        <is>
          <t>The protective setting is in place and the unsafe request is refused.</t>
        </is>
      </c>
      <c r="I37" s="7" t="inlineStr">
        <is>
          <t>Forty consecutive authenticated requests to youth_skilling.api.utils.get_training_center_list returned HTTP 200 every time. No 429, no Retry-After, no throttling of any kind.</t>
        </is>
      </c>
      <c r="J37"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K37" s="9" t="inlineStr">
        <is>
          <t>Open</t>
        </is>
      </c>
    </row>
    <row r="38">
      <c r="A38" s="6" t="inlineStr">
        <is>
          <t>WC-122</t>
        </is>
      </c>
      <c r="B38" s="7" t="inlineStr">
        <is>
          <t>add_interest writes any field the caller sends, and saves with permissions switched off</t>
        </is>
      </c>
      <c r="C38" s="10" t="inlineStr">
        <is>
          <t>S2 Critical</t>
        </is>
      </c>
      <c r="D38" s="7" t="inlineStr">
        <is>
          <t>P2</t>
        </is>
      </c>
      <c r="E38" s="7" t="inlineStr">
        <is>
          <t>Facilitator and Counsellor</t>
        </is>
      </c>
      <c r="F38" s="7" t="inlineStr">
        <is>
          <t>batch_management/batch_management/api/fc/youth_interest.py:198 add_interest.</t>
        </is>
      </c>
      <c r="G38"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H38" s="7" t="inlineStr">
        <is>
          <t>Only the fields the endpoint declares are written. Any other field in the payload is rejected.</t>
        </is>
      </c>
      <c r="I38"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J38"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K38" s="9" t="inlineStr">
        <is>
          <t>Open</t>
        </is>
      </c>
    </row>
    <row r="39">
      <c r="A39" s="6" t="inlineStr">
        <is>
          <t>WC-125</t>
        </is>
      </c>
      <c r="B39" s="7" t="inlineStr">
        <is>
          <t>Fields accept values that contradict themselves: negative ages, future birth dates, capacity floors above ceilings, negative costs</t>
        </is>
      </c>
      <c r="C39" s="10" t="inlineStr">
        <is>
          <t>S2 Critical</t>
        </is>
      </c>
      <c r="D39" s="7" t="inlineStr">
        <is>
          <t>P2</t>
        </is>
      </c>
      <c r="E39" s="7" t="inlineStr">
        <is>
          <t>All personas / not role-specific</t>
        </is>
      </c>
      <c r="F39" s="7" t="inlineStr"/>
      <c r="G39"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H39" s="7" t="inlineStr">
        <is>
          <t>The value is rejected with HTTP 400 and a message naming the field, and nothing is stored.</t>
        </is>
      </c>
      <c r="I39"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J39"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K39" s="9" t="inlineStr">
        <is>
          <t>Open</t>
        </is>
      </c>
    </row>
    <row r="40">
      <c r="A40" s="6" t="inlineStr">
        <is>
          <t>WC-126</t>
        </is>
      </c>
      <c r="B40" s="7" t="inlineStr">
        <is>
          <t>No state-transition control exists: every status can move to every other status, including financial reversals</t>
        </is>
      </c>
      <c r="C40" s="10" t="inlineStr">
        <is>
          <t>S2 Critical</t>
        </is>
      </c>
      <c r="D40" s="7" t="inlineStr">
        <is>
          <t>P2</t>
        </is>
      </c>
      <c r="E40" s="7" t="inlineStr">
        <is>
          <t>All personas / not role-specific</t>
        </is>
      </c>
      <c r="F40" s="7" t="inlineStr"/>
      <c r="G40" s="7" t="inlineStr">
        <is>
          <t>1. Pick a record with a status field (for example a Skilling Invoice).
2. Set its status to one value and save.
3. Set it to a value the workflow should not allow from there (for example Paid back to Not Raised Yet) and save.
4. Read the status back.</t>
        </is>
      </c>
      <c r="H40" s="7" t="inlineStr">
        <is>
          <t>A transition the workflow does not allow is refused, and the record keeps its previous status.</t>
        </is>
      </c>
      <c r="I40"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J40"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K40" s="9" t="inlineStr">
        <is>
          <t>Open</t>
        </is>
      </c>
    </row>
    <row r="41">
      <c r="A41" s="6" t="inlineStr">
        <is>
          <t>WC-128</t>
        </is>
      </c>
      <c r="B41" s="7" t="inlineStr">
        <is>
          <t>The password-reset request, including the new plaintext password and the OTP, is written to the browser console in five applications</t>
        </is>
      </c>
      <c r="C41" s="10" t="inlineStr">
        <is>
          <t>S2 Critical</t>
        </is>
      </c>
      <c r="D41" s="7" t="inlineStr">
        <is>
          <t>P2</t>
        </is>
      </c>
      <c r="E41" s="7" t="inlineStr">
        <is>
          <t>any persona that can reset a password</t>
        </is>
      </c>
      <c r="F41" s="7" t="inlineStr">
        <is>
          <t>the Reset Password screen in each of the five apps</t>
        </is>
      </c>
      <c r="G41"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H41" s="7" t="inlineStr">
        <is>
          <t>No credential, password or OTP is ever written to the browser console.</t>
        </is>
      </c>
      <c r="I41" s="7" t="inlineStr">
        <is>
          <t>src/api/forget-password/forget-password-api.js logs the full reset payload via console.log in five repositories: weconnect-frontend-auth, weconnect-frontend, -ch, -pm, -sm.</t>
        </is>
      </c>
      <c r="J41"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K41" s="9" t="inlineStr">
        <is>
          <t>Open</t>
        </is>
      </c>
    </row>
    <row r="42">
      <c r="A42" s="6" t="inlineStr">
        <is>
          <t>WC-065</t>
        </is>
      </c>
      <c r="B42" s="7" t="inlineStr">
        <is>
          <t>A selector endpoint returns the entire youth population, unpaginated</t>
        </is>
      </c>
      <c r="C42" s="11" t="inlineStr">
        <is>
          <t>S3 Major</t>
        </is>
      </c>
      <c r="D42" s="7" t="inlineStr">
        <is>
          <t>P2</t>
        </is>
      </c>
      <c r="E42" s="7" t="inlineStr">
        <is>
          <t>Outreach Coordinator, Facilitator and Counsellor, Skilling Youth Coordinator, Placement Ma</t>
        </is>
      </c>
      <c r="F42" s="7" t="inlineStr">
        <is>
          <t>/oc/batch-management, /oc/batch-management/mark-attendance, /oc/enrollment/registration/registration-form</t>
        </is>
      </c>
      <c r="G42" s="7" t="inlineStr">
        <is>
          <t>1. Drive facilitator_and_counsellor.api.counselling.helper.get_youth_list with several sessions at once, increasing concurrency step by step.
2. Record the HTTP status and response time at each level.
3. Note the point at which results stop being consistent.</t>
        </is>
      </c>
      <c r="H42" s="7" t="inlineStr">
        <is>
          <t>The endpoint responds within the expected load without degrading, and large result sets are paginated.</t>
        </is>
      </c>
      <c r="I42" s="7" t="inlineStr">
        <is>
          <t>3,825 records in a single response — 204 KB, 1.82 s. The response carries a count field but no total_pages or total_data_count, and accepts no page parameter.</t>
        </is>
      </c>
      <c r="J42" s="7" t="inlineStr">
        <is>
          <t>paginate it as the sibling endpoints already do, or make it a server-side search that returns matches for a typed prefix rather than the full population.</t>
        </is>
      </c>
      <c r="K42" s="9" t="inlineStr">
        <is>
          <t>Open</t>
        </is>
      </c>
    </row>
    <row r="43">
      <c r="A43" s="6" t="inlineStr">
        <is>
          <t>WC-080</t>
        </is>
      </c>
      <c r="B43" s="7" t="inlineStr">
        <is>
          <t>move_youth creates a batch-transfer approval for any youth with no caller check</t>
        </is>
      </c>
      <c r="C43" s="11" t="inlineStr">
        <is>
          <t>S3 Major</t>
        </is>
      </c>
      <c r="D43" s="7" t="inlineStr">
        <is>
          <t>P2</t>
        </is>
      </c>
      <c r="E43" s="7" t="inlineStr">
        <is>
          <t>All personas / not role-specific</t>
        </is>
      </c>
      <c r="F43" s="7" t="inlineStr">
        <is>
          <t>batch_management/api/pathway_batch/actions.py, move_youth(youth, batch, remarks), @frappe.whitelist(methods=["PUT"]).</t>
        </is>
      </c>
      <c r="G43" s="7" t="inlineStr">
        <is>
          <t>1. Sign in as an authenticated staff account — any authenticated account is enough.
2. Call frappe.session.user with no special privileges.
3. Observe that the call is accepted rather than refused, and check whether anything changed.</t>
        </is>
      </c>
      <c r="H43" s="7" t="inlineStr">
        <is>
          <t>The endpoint checks the caller's authorisation before acting, and refuses the call when the caller is not permitted.</t>
        </is>
      </c>
      <c r="I43" s="7" t="inlineStr">
        <is>
          <t>move_youth creates a batch-transfer approval for any youth with no caller check.</t>
        </is>
      </c>
      <c r="J43" s="7" t="inlineStr">
        <is>
          <t>check the caller's permitted_centres against the youth's centre before creating the approval.</t>
        </is>
      </c>
      <c r="K43" s="9" t="inlineStr">
        <is>
          <t>Open</t>
        </is>
      </c>
    </row>
    <row r="44">
      <c r="A44" s="6" t="inlineStr">
        <is>
          <t>WC-097</t>
        </is>
      </c>
      <c r="B44" s="7" t="inlineStr">
        <is>
          <t>Batch deletion performs no dependent-record check</t>
        </is>
      </c>
      <c r="C44" s="11" t="inlineStr">
        <is>
          <t>S3 Major</t>
        </is>
      </c>
      <c r="D44" s="7" t="inlineStr">
        <is>
          <t>P2</t>
        </is>
      </c>
      <c r="E44" s="7" t="inlineStr">
        <is>
          <t>All personas / not role-specific</t>
        </is>
      </c>
      <c r="F44" s="7" t="inlineStr">
        <is>
          <t>batch_management/api/pathway_batch/form.py, mark_as_deleted(ids, remarks).</t>
        </is>
      </c>
      <c r="G44" s="7" t="inlineStr">
        <is>
          <t>1. Create a parent record with at least one dependent record attached.
2. Call batch_management/api/pathway_batch/form.py, mark_as_deleted(ids, remarks) to remove the parent.
3. Check what happened to the dependents.</t>
        </is>
      </c>
      <c r="H44" s="7" t="inlineStr">
        <is>
          <t>A record with dependents cannot be removed without an explicit, acknowledged cascade.</t>
        </is>
      </c>
      <c r="I44"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J44" s="7" t="inlineStr">
        <is>
          <t>refuse deletion (or require explicit confirmation) when dependent records exist, and check the caller's centre scope as with the other write endpoints.</t>
        </is>
      </c>
      <c r="K44" s="9" t="inlineStr">
        <is>
          <t>Open</t>
        </is>
      </c>
    </row>
    <row r="45">
      <c r="A45" s="6" t="inlineStr">
        <is>
          <t>WC-099</t>
        </is>
      </c>
      <c r="B45" s="7" t="inlineStr">
        <is>
          <t>Financial and state-change endpoints are not idempotent</t>
        </is>
      </c>
      <c r="C45" s="11" t="inlineStr">
        <is>
          <t>S3 Major</t>
        </is>
      </c>
      <c r="D45" s="7" t="inlineStr">
        <is>
          <t>P2</t>
        </is>
      </c>
      <c r="E45" s="7" t="inlineStr">
        <is>
          <t>All personas / not role-specific</t>
        </is>
      </c>
      <c r="F45" s="7" t="inlineStr"/>
      <c r="G45"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H45" s="7" t="inlineStr">
        <is>
          <t>The HTTP status matches the outcome: a failure returns 4xx/5xx, never 200, and the response shape is consistent.</t>
        </is>
      </c>
      <c r="I45"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J45" s="7" t="inlineStr">
        <is>
          <t>guard state transitions on the current state (refuse to raise an already-raised invoice), and accept an idempotency key on creates so a retried request returns the original record rather than a duplicate.</t>
        </is>
      </c>
      <c r="K45" s="9" t="inlineStr">
        <is>
          <t>Open</t>
        </is>
      </c>
    </row>
    <row r="46">
      <c r="A46" s="6" t="inlineStr">
        <is>
          <t>WC-109</t>
        </is>
      </c>
      <c r="B46" s="7" t="inlineStr">
        <is>
          <t>dashboard.get_invoice_count applies no scoping at all and returns a global financial aggregate</t>
        </is>
      </c>
      <c r="C46" s="11" t="inlineStr">
        <is>
          <t>S3 Major</t>
        </is>
      </c>
      <c r="D46" s="7" t="inlineStr">
        <is>
          <t>P2</t>
        </is>
      </c>
      <c r="E46" s="7" t="inlineStr">
        <is>
          <t>Skilling Partner</t>
        </is>
      </c>
      <c r="F46" s="7" t="inlineStr">
        <is>
          <t>youth_skilling.api.dashboard.get_invoice_count.</t>
        </is>
      </c>
      <c r="G46" s="7" t="inlineStr">
        <is>
          <t>1. Sign in as Outreach Coordinator and note the permitted_centres in the login response.
2. Call youth_skilling.api.dashboard.get_invoice_count.
3. Compare the centre on every returned record against that permitted list.</t>
        </is>
      </c>
      <c r="H46" s="7" t="inlineStr">
        <is>
          <t>Only data the account is permitted to see is returned, and lower environments hold no real programme data.</t>
        </is>
      </c>
      <c r="I46" s="7" t="inlineStr">
        <is>
          <t>the handler calls frappe.db.count("Skilling Invoice", {"current_status": ...}) with no centre predicate. frappe.db.count does not apply permissions, so no scoping occurs by any route. This one genuinely has no filter, unlike its siblings on the same dashboard.</t>
        </is>
      </c>
      <c r="J46" s="7" t="inlineStr">
        <is>
          <t>filter by the caller's permitted centres, as the sibling cards attempt to, and prefer frappe.get_list/get_all with an explicit centre predicate over frappe.db.count.</t>
        </is>
      </c>
      <c r="K46" s="9" t="inlineStr">
        <is>
          <t>Open</t>
        </is>
      </c>
    </row>
    <row r="47">
      <c r="A47" s="6" t="inlineStr">
        <is>
          <t>WC-116</t>
        </is>
      </c>
      <c r="B47" s="7" t="inlineStr">
        <is>
          <t>Session lifetime is seven days, which compounds the token-storage exposure</t>
        </is>
      </c>
      <c r="C47" s="11" t="inlineStr">
        <is>
          <t>S3 Major</t>
        </is>
      </c>
      <c r="D47" s="7" t="inlineStr">
        <is>
          <t>P2</t>
        </is>
      </c>
      <c r="E47" s="7" t="inlineStr">
        <is>
          <t>All personas / not role-specific</t>
        </is>
      </c>
      <c r="F47" s="7" t="inlineStr"/>
      <c r="G47" s="7" t="inlineStr">
        <is>
          <t>1. No sign-in needed for the header checks.
2. Issue the request described in the Actual Result column against the deployed host.
3. Inspect the response headers (or the cookie attributes) rather than the body.
4. Fastest route: node verify/run.mjs --only WC-116</t>
        </is>
      </c>
      <c r="H47" s="7" t="inlineStr">
        <is>
          <t>The protective setting is in place and the unsafe request is refused.</t>
        </is>
      </c>
      <c r="I47" s="7" t="inlineStr">
        <is>
          <t>System Settings reports session_expiry = 170:00, which is 170 hours, a little over seven days. force_user_to_reset_password = 0 and minimum_password_score = 2 on Frappe's 0–4 scale, which zxcvbn describes as "somewhat guessable".</t>
        </is>
      </c>
      <c r="J47" s="7" t="inlineStr">
        <is>
          <t>shorten the session lifetime to something proportionate to a working day, move the credential to the httpOnly cookie the API already issues, and raise the minimum password score. None of these requires application changes; they are settings.</t>
        </is>
      </c>
      <c r="K47" s="9" t="inlineStr">
        <is>
          <t>Open</t>
        </is>
      </c>
    </row>
    <row r="48">
      <c r="A48" s="6" t="inlineStr">
        <is>
          <t>WC-121</t>
        </is>
      </c>
      <c r="B48" s="7" t="inlineStr">
        <is>
          <t>CORS is configured to reflect any origin with credentials allowed</t>
        </is>
      </c>
      <c r="C48" s="11" t="inlineStr">
        <is>
          <t>S3 Major</t>
        </is>
      </c>
      <c r="D48" s="7" t="inlineStr">
        <is>
          <t>P2</t>
        </is>
      </c>
      <c r="E48" s="7" t="inlineStr">
        <is>
          <t>no account required (unauthenticated)</t>
        </is>
      </c>
      <c r="F48" s="7" t="inlineStr">
        <is>
          <t>allow_cors in the backend site configuration, consumed by frappe/app.py set_cors_headers.</t>
        </is>
      </c>
      <c r="G48" s="7" t="inlineStr">
        <is>
          <t>1. No sign-in needed for the header checks.
2. Issue the request described in the Actual Result column against the deployed host.
3. Inspect the response headers (or the cookie attributes) rather than the body.
4. Fastest route: node verify/run.mjs --only WC-121</t>
        </is>
      </c>
      <c r="H48" s="7" t="inlineStr">
        <is>
          <t>The protective setting is in place and the unsafe request is refused.</t>
        </is>
      </c>
      <c r="I48"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J48"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K48" s="9" t="inlineStr">
        <is>
          <t>Open</t>
        </is>
      </c>
    </row>
    <row r="49">
      <c r="A49" s="6" t="inlineStr">
        <is>
          <t>WC-123</t>
        </is>
      </c>
      <c r="B49" s="7" t="inlineStr">
        <is>
          <t>update_profile applies caller data to a User record, and its permission check is dead code</t>
        </is>
      </c>
      <c r="C49" s="11" t="inlineStr">
        <is>
          <t>S3 Major</t>
        </is>
      </c>
      <c r="D49" s="7" t="inlineStr">
        <is>
          <t>P2</t>
        </is>
      </c>
      <c r="E49" s="7" t="inlineStr">
        <is>
          <t>any authenticated account</t>
        </is>
      </c>
      <c r="F49" s="7" t="inlineStr">
        <is>
          <t>outreach/outreach/apis/profile/form.py:74 update_profile.</t>
        </is>
      </c>
      <c r="G49" s="7" t="inlineStr">
        <is>
          <t>1. Sign in as an authenticated staff account.
2. Call outreach/outreach/apis/profile/form.py:74 update_profile with the fields it documents PLUS one it never mentions.
3. Read the record back from the database and check whether the undeclared field was written.</t>
        </is>
      </c>
      <c r="H49" s="7" t="inlineStr">
        <is>
          <t>Only the fields the endpoint declares are written. Any other field in the payload is rejected.</t>
        </is>
      </c>
      <c r="I49" s="7" t="inlineStr">
        <is>
          <t>update_profile applies caller data to a User record, and its permission check is dead code.</t>
        </is>
      </c>
      <c r="J49" s="7" t="inlineStr">
        <is>
          <t>Add return after the 403. Restrict data to the profile fields this screen is meant to edit. Check the permission before applying the data rather than after.</t>
        </is>
      </c>
      <c r="K49" s="9" t="inlineStr">
        <is>
          <t>Open</t>
        </is>
      </c>
    </row>
    <row r="50">
      <c r="A50" s="6" t="inlineStr">
        <is>
          <t>WC-014</t>
        </is>
      </c>
      <c r="B50" s="7" t="inlineStr">
        <is>
          <t>OC (Outreach Coordinator) account returns empty role_profile</t>
        </is>
      </c>
      <c r="C50" s="11" t="inlineStr">
        <is>
          <t>S3 Major</t>
        </is>
      </c>
      <c r="D50" s="7" t="inlineStr">
        <is>
          <t>P3</t>
        </is>
      </c>
      <c r="E50" s="7" t="inlineStr">
        <is>
          <t>Placement Manager, shared login application</t>
        </is>
      </c>
      <c r="F50" s="7" t="inlineStr">
        <is>
          <t>/pm/waiting-for-mapping, /, /auth/google/callback, /authentication/forget-password</t>
        </is>
      </c>
      <c r="G50" s="7" t="inlineStr">
        <is>
          <t>1. Sign in as an authenticated staff account.
2. Call authentication.api.auth.login in a way that must fail (an invalid identifier, a missing field).
3. Compare the HTTP status against the body's own success flag.</t>
        </is>
      </c>
      <c r="H50" s="7" t="inlineStr">
        <is>
          <t>The HTTP status matches the outcome: a failure returns 4xx/5xx, never 200, and the response shape is consistent.</t>
        </is>
      </c>
      <c r="I50" s="7" t="inlineStr">
        <is>
          <t>authentication.api.auth.login returns HTTP 200 but role_profile: "" for the OC account, while all other personas return a populated profile.</t>
        </is>
      </c>
      <c r="J50" s="7" t="inlineStr">
        <is>
          <t>assign the Outreach Coordinator role profile to the account, and make the login endpoint refuse — or at minimum log. An authenticated user with no role profile, rather than returning an empty string that callers must interpret.</t>
        </is>
      </c>
      <c r="K50" s="9" t="inlineStr">
        <is>
          <t>Open</t>
        </is>
      </c>
    </row>
    <row r="51">
      <c r="A51" s="6" t="inlineStr">
        <is>
          <t>WC-019</t>
        </is>
      </c>
      <c r="B51" s="7" t="inlineStr">
        <is>
          <t>SP /approvals data API returns 404</t>
        </is>
      </c>
      <c r="C51" s="11" t="inlineStr">
        <is>
          <t>S3 Major</t>
        </is>
      </c>
      <c r="D51" s="7" t="inlineStr">
        <is>
          <t>P3</t>
        </is>
      </c>
      <c r="E51" s="7" t="inlineStr">
        <is>
          <t>Skilling Manager, Skilling Partner, Placement Manager</t>
        </is>
      </c>
      <c r="F51" s="7" t="inlineStr">
        <is>
          <t>/sm/batch-management, /sm/budget, /sm/discontinued-skilling-tables, /sp/approvals, /sp/follow-ups, /sp/screening-schedul</t>
        </is>
      </c>
      <c r="G51" s="7" t="inlineStr">
        <is>
          <t>1. Sign in as Skilling Partner and open /sp/approvals with the browser network tab open.
2. Find the failing request in the network log.
3. Note its URL and status code.</t>
        </is>
      </c>
      <c r="H51" s="7" t="inlineStr">
        <is>
          <t>The endpoint the screen calls exists on the deployed build and returns its data.</t>
        </is>
      </c>
      <c r="I51" s="7" t="inlineStr">
        <is>
          <t>SP /approvals data API returns 404.</t>
        </is>
      </c>
      <c r="J51"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K51" s="9" t="inlineStr">
        <is>
          <t>Open</t>
        </is>
      </c>
    </row>
    <row r="52">
      <c r="A52" s="6" t="inlineStr">
        <is>
          <t>WC-024</t>
        </is>
      </c>
      <c r="B52" s="7" t="inlineStr">
        <is>
          <t>Endpoint-level role separation is inconsistent; data scoping is the only real control</t>
        </is>
      </c>
      <c r="C52" s="11" t="inlineStr">
        <is>
          <t>S3 Major</t>
        </is>
      </c>
      <c r="D52" s="7" t="inlineStr">
        <is>
          <t>P3</t>
        </is>
      </c>
      <c r="E52" s="7" t="inlineStr">
        <is>
          <t>All personas / not role-specific</t>
        </is>
      </c>
      <c r="F52" s="7" t="inlineStr"/>
      <c r="G52" s="7" t="inlineStr">
        <is>
          <t>1. Sign in as an authenticated staff account and note the permitted_centres in the login response.
2. Call the per-persona endpoint set recorded in evidence/authz-audit.json.
3. Compare the centre on every returned record against that permitted list.</t>
        </is>
      </c>
      <c r="H52" s="7" t="inlineStr">
        <is>
          <t>Only data the account is permitted to see is returned, and lower environments hold no real programme data.</t>
        </is>
      </c>
      <c r="I52" s="7" t="inlineStr">
        <is>
          <t>each persona was offered the 67 endpoints exclusive to other personas. Share refused (401/403):; Caller; Read OK; Refused; Refusal rate; OC; 48; 0; 0%; CH; 36; 3; 8%; FC; 45; 7; 13%; SYC; 45; 9; 16%; SM; 33; 11; 24%; SP; 33; 14; 29%.</t>
        </is>
      </c>
      <c r="J52" s="7" t="inlineStr">
        <is>
          <t>See register.</t>
        </is>
      </c>
      <c r="K52" s="9" t="inlineStr">
        <is>
          <t>Open</t>
        </is>
      </c>
    </row>
    <row r="53">
      <c r="A53" s="6" t="inlineStr">
        <is>
          <t>WC-030</t>
        </is>
      </c>
      <c r="B53" s="7" t="inlineStr">
        <is>
          <t>permitted_courses is a string for half the accounts and an array for the other half</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1. Sign in as each of the six personas in turn.
2. Read permitted_courses in each login response.
3. Compare the type across accounts: three return an array, three return the string NA.</t>
        </is>
      </c>
      <c r="H53" s="7" t="inlineStr">
        <is>
          <t>A 4xx response with a message the caller can act on. No stack trace and no HTTP 500.</t>
        </is>
      </c>
      <c r="I53" s="7" t="inlineStr">
        <is>
          <t>Account; permitted_courses; FC; array(3); SP; array(2); SM; array(11); CH; "NA" (string); SYC; "NA" (string); OC; "NA" (string)</t>
        </is>
      </c>
      <c r="J53" s="7" t="inlineStr">
        <is>
          <t>return [] rather than the sentinel string "NA". A field's type should not depend on its value. permitted_centres is correctly an array for every account and is the reference.</t>
        </is>
      </c>
      <c r="K53" s="9" t="inlineStr">
        <is>
          <t>Open</t>
        </is>
      </c>
    </row>
    <row r="54">
      <c r="A54" s="6" t="inlineStr">
        <is>
          <t>WC-031</t>
        </is>
      </c>
      <c r="B54" s="7" t="inlineStr">
        <is>
          <t>Logging in silently terminates the previous session</t>
        </is>
      </c>
      <c r="C54" s="11" t="inlineStr">
        <is>
          <t>S3 Major</t>
        </is>
      </c>
      <c r="D54" s="7" t="inlineStr">
        <is>
          <t>P3</t>
        </is>
      </c>
      <c r="E54" s="7" t="inlineStr">
        <is>
          <t>All personas / not role-specific</t>
        </is>
      </c>
      <c r="F54" s="7" t="inlineStr"/>
      <c r="G54" s="7" t="inlineStr">
        <is>
          <t>1. Sign in as the same account in one browser.
2. Sign in again as that account in a second browser.
3. Return to the first browser and issue any authenticated request.</t>
        </is>
      </c>
      <c r="H54" s="7" t="inlineStr">
        <is>
          <t>Session behaviour is deliberate and the user is told when a session ends.</t>
        </is>
      </c>
      <c r="I54" s="7" t="inlineStr">
        <is>
          <t>two consecutive logins for the same account. api_key is stable; api_secret is regenerated on each login, and the first secret immediately returns 401.</t>
        </is>
      </c>
      <c r="J54" s="7" t="inlineStr">
        <is>
          <t>See register.</t>
        </is>
      </c>
      <c r="K54" s="9" t="inlineStr">
        <is>
          <t>Open</t>
        </is>
      </c>
    </row>
    <row r="55">
      <c r="A55" s="6" t="inlineStr">
        <is>
          <t>WC-055</t>
        </is>
      </c>
      <c r="B55" s="7" t="inlineStr">
        <is>
          <t>The deployable platform is undocumented and larger than the handover</t>
        </is>
      </c>
      <c r="C55" s="11" t="inlineStr">
        <is>
          <t>S3 Major</t>
        </is>
      </c>
      <c r="D55" s="7" t="inlineStr">
        <is>
          <t>P3</t>
        </is>
      </c>
      <c r="E55" s="7" t="inlineStr">
        <is>
          <t>any persona (login)</t>
        </is>
      </c>
      <c r="F55" s="7" t="inlineStr"/>
      <c r="G55" s="7" t="inlineStr">
        <is>
          <t>Inspection, not a runtime reproduction.
1. Open frappe.db.get_value("Employee", {"user_id": user}).
2. Confirm what the Actual Result column describes is present (or absent).
3. Full reasoning is in findings/findings-log.md under WC-055.</t>
        </is>
      </c>
      <c r="H55" s="7" t="inlineStr">
        <is>
          <t>Everything needed to build and run the platform is present in the repositories the foundation owns.</t>
        </is>
      </c>
      <c r="I55"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J55" s="7" t="inlineStr">
        <is>
          <t>declare required_apps in authentication/hooks.py, and record the deployable set in a README. Both are small; the absence of both is what turns a dependency into a trap.</t>
        </is>
      </c>
      <c r="K55" s="9" t="inlineStr">
        <is>
          <t>Open</t>
        </is>
      </c>
    </row>
    <row r="56">
      <c r="A56" s="6" t="inlineStr">
        <is>
          <t>WC-059</t>
        </is>
      </c>
      <c r="B56" s="7" t="inlineStr">
        <is>
          <t>Orphaned module records remain for three uninstalled applications</t>
        </is>
      </c>
      <c r="C56" s="11" t="inlineStr">
        <is>
          <t>S3 Major</t>
        </is>
      </c>
      <c r="D56" s="7" t="inlineStr">
        <is>
          <t>P3</t>
        </is>
      </c>
      <c r="E56" s="7" t="inlineStr">
        <is>
          <t>All personas / not role-specific</t>
        </is>
      </c>
      <c r="F56" s="7" t="inlineStr"/>
      <c r="G56"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H56" s="7" t="inlineStr">
        <is>
          <t>Everything needed to build and run the platform is present in the repositories the foundation owns.</t>
        </is>
      </c>
      <c r="I56" s="7" t="inlineStr">
        <is>
          <t>Module Def holds records attributed to three applications that get_versions does not list as installed:; Application; Orphaned modules; hrms; HR, Payroll; mannlowe_support; Mannlowe Support; materialized_view_builder; Materialized View Builder.</t>
        </is>
      </c>
      <c r="J56" s="7" t="inlineStr">
        <is>
          <t>remove the orphaned Module Def records, or reinstall-and-uninstall cleanly.</t>
        </is>
      </c>
      <c r="K56" s="9" t="inlineStr">
        <is>
          <t>Open</t>
        </is>
      </c>
    </row>
    <row r="57">
      <c r="A57" s="6" t="inlineStr">
        <is>
          <t>WC-062</t>
        </is>
      </c>
      <c r="B57" s="7" t="inlineStr">
        <is>
          <t>Three doctypes are defined twice, by two different applications</t>
        </is>
      </c>
      <c r="C57" s="11" t="inlineStr">
        <is>
          <t>S3 Major</t>
        </is>
      </c>
      <c r="D57" s="7" t="inlineStr">
        <is>
          <t>P3</t>
        </is>
      </c>
      <c r="E57" s="7" t="inlineStr">
        <is>
          <t>All personas / not role-specific</t>
        </is>
      </c>
      <c r="F57" s="7" t="inlineStr"/>
      <c r="G57" s="7" t="inlineStr">
        <is>
          <t>Inspection, not a runtime reproduction.
1. Open the three doctypes the register names as defined by two applications each.
2. Confirm what the Actual Result column describes is present (or absent).
3. Full reasoning is in findings/findings-log.md under WC-062.</t>
        </is>
      </c>
      <c r="H57" s="7" t="inlineStr">
        <is>
          <t>Everything needed to build and run the platform is present in the repositories the foundation owns.</t>
        </is>
      </c>
      <c r="I57"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J57" s="7" t="inlineStr">
        <is>
          <t>one application owns each doctype; the other declares a dependency on it, or the names are made distinct.</t>
        </is>
      </c>
      <c r="K57" s="9" t="inlineStr">
        <is>
          <t>Open</t>
        </is>
      </c>
    </row>
    <row r="58">
      <c r="A58" s="6" t="inlineStr">
        <is>
          <t>WC-071</t>
        </is>
      </c>
      <c r="B58" s="7" t="inlineStr">
        <is>
          <t>Two independent centre-scoping mechanisms exist, and they can disagree</t>
        </is>
      </c>
      <c r="C58" s="11" t="inlineStr">
        <is>
          <t>S3 Major</t>
        </is>
      </c>
      <c r="D58" s="7" t="inlineStr">
        <is>
          <t>P3</t>
        </is>
      </c>
      <c r="E58" s="7" t="inlineStr">
        <is>
          <t>Placement Manager, shared login application</t>
        </is>
      </c>
      <c r="F58" s="7" t="inlineStr">
        <is>
          <t>/pm/waiting-for-mapping, /, /auth/google/callback, /authentication/forget-password</t>
        </is>
      </c>
      <c r="G58" s="7" t="inlineStr">
        <is>
          <t>1. Sign in as an authenticated staff account — any authenticated account is enough.
2. Call authentication.api.auth.login with no special privileges.
3. Observe that the call is accepted rather than refused, and check whether anything changed.</t>
        </is>
      </c>
      <c r="H58" s="7" t="inlineStr">
        <is>
          <t>One centre-scoping mechanism is authoritative, and every path derives scope from it.</t>
        </is>
      </c>
      <c r="I58"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J58" s="7" t="inlineStr">
        <is>
          <t>derive one from the other, or have write paths consult permitted_centres as read paths do.</t>
        </is>
      </c>
      <c r="K58" s="9" t="inlineStr">
        <is>
          <t>Open</t>
        </is>
      </c>
    </row>
    <row r="59">
      <c r="A59" s="6" t="inlineStr">
        <is>
          <t>WC-072</t>
        </is>
      </c>
      <c r="B59" s="7" t="inlineStr">
        <is>
          <t>A custom field makes ERPNext's Company creation fail</t>
        </is>
      </c>
      <c r="C59" s="11" t="inlineStr">
        <is>
          <t>S3 Major</t>
        </is>
      </c>
      <c r="D59" s="7" t="inlineStr">
        <is>
          <t>P3</t>
        </is>
      </c>
      <c r="E59" s="7" t="inlineStr">
        <is>
          <t>All personas / not role-specific</t>
        </is>
      </c>
      <c r="F59" s="7" t="inlineStr">
        <is>
          <t>weconnect-backend-batch-management, batch_management/fixtures/custom_field.json — adds custom_abbr ("ABBR") to Cost Center as fieldtype: Data, reqd: 1, with no default.</t>
        </is>
      </c>
      <c r="G59" s="7" t="inlineStr">
        <is>
          <t>1. On a clean install built from the repositories, attempt to create an ERPNext Company.
2. Submit the form with all mandatory fields completed.
3. Creation fails on the custom_abbr custom field, which has no default.</t>
        </is>
      </c>
      <c r="H59" s="7" t="inlineStr">
        <is>
          <t>A 4xx response with a message the caller can act on. No stack trace and no HTTP 500.</t>
        </is>
      </c>
      <c r="I59" s="7" t="inlineStr">
        <is>
          <t>A custom field makes ERPNext's Company creation fail.</t>
        </is>
      </c>
      <c r="J59" s="7" t="inlineStr">
        <is>
          <t>give custom_abbr a default, or make it non-mandatory and validate it only where the application actually requires it.</t>
        </is>
      </c>
      <c r="K59" s="9" t="inlineStr">
        <is>
          <t>Open</t>
        </is>
      </c>
    </row>
    <row r="60">
      <c r="A60" s="6" t="inlineStr">
        <is>
          <t>WC-074</t>
        </is>
      </c>
      <c r="B60" s="7" t="inlineStr">
        <is>
          <t>Write failures return HTTP 200, and the success flag is named inconsistently</t>
        </is>
      </c>
      <c r="C60" s="11" t="inlineStr">
        <is>
          <t>S3 Major</t>
        </is>
      </c>
      <c r="D60" s="7" t="inlineStr">
        <is>
          <t>P3</t>
        </is>
      </c>
      <c r="E60" s="7" t="inlineStr">
        <is>
          <t>Outreach Coordinator, Centre Head, Facilitator and Counsellor, Skilling Partner</t>
        </is>
      </c>
      <c r="F60" s="7" t="inlineStr">
        <is>
          <t>/oc/tasks, /ch/ch-tasks, /ch/individual-target, /ch/staff-monitoring, /fc/tasks, /sp/tasks</t>
        </is>
      </c>
      <c r="G60" s="7" t="inlineStr">
        <is>
          <t>1. Sign in as an authenticated staff account.
2. Call outreach.apis.task.task.create_task in a way that must fail (an invalid identifier, a missing field).
3. Compare the HTTP status against the body's own success flag.</t>
        </is>
      </c>
      <c r="H60" s="7" t="inlineStr">
        <is>
          <t>The HTTP status matches the outcome: a failure returns 4xx/5xx, never 200, and the response shape is consistent.</t>
        </is>
      </c>
      <c r="I60"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J60" s="7" t="inlineStr">
        <is>
          <t>return 4xx for a rejected write, and use one flag name, in one case, across the API.</t>
        </is>
      </c>
      <c r="K60" s="9" t="inlineStr">
        <is>
          <t>Open</t>
        </is>
      </c>
    </row>
    <row r="61">
      <c r="A61" s="6" t="inlineStr">
        <is>
          <t>WC-076</t>
        </is>
      </c>
      <c r="B61" s="7" t="inlineStr">
        <is>
          <t>update_task returns a 500 and a traceback when any field is omitted</t>
        </is>
      </c>
      <c r="C61" s="11" t="inlineStr">
        <is>
          <t>S3 Major</t>
        </is>
      </c>
      <c r="D61" s="7" t="inlineStr">
        <is>
          <t>P3</t>
        </is>
      </c>
      <c r="E61" s="7" t="inlineStr">
        <is>
          <t>All personas / not role-specific</t>
        </is>
      </c>
      <c r="F61" s="7" t="inlineStr">
        <is>
          <t>outreach/apis/task/task.py, update_task.</t>
        </is>
      </c>
      <c r="G61" s="7" t="inlineStr">
        <is>
          <t>1. Sign in as an authenticated staff account.
2. Call outreach/apis/task/task.py, update_task omitting a required argument, or with an argument of the wrong type.
3. Read the HTTP status and the response body.</t>
        </is>
      </c>
      <c r="H61" s="7" t="inlineStr">
        <is>
          <t>A 4xx response with a message the caller can act on. No stack trace and no HTTP 500.</t>
        </is>
      </c>
      <c r="I61" s="7" t="inlineStr">
        <is>
          <t>the handler reads five payload keys by direct subscript rather than .get(): subject, description, assign_to, priority, exp_end_date. Omitting any one raises KeyError, which the framework returns as HTTP 500 with a Python traceback — not a validation message.</t>
        </is>
      </c>
      <c r="J61" s="7" t="inlineStr">
        <is>
          <t>data.get(key) throughout, and return a 400 with the missing field named.</t>
        </is>
      </c>
      <c r="K61" s="9" t="inlineStr">
        <is>
          <t>Open</t>
        </is>
      </c>
    </row>
    <row r="62">
      <c r="A62" s="6" t="inlineStr">
        <is>
          <t>WC-089</t>
        </is>
      </c>
      <c r="B62" s="7" t="inlineStr">
        <is>
          <t>Multiple whitelisted endpoints return HTTP 500 on a missing argument</t>
        </is>
      </c>
      <c r="C62" s="11" t="inlineStr">
        <is>
          <t>S3 Major</t>
        </is>
      </c>
      <c r="D62" s="7" t="inlineStr">
        <is>
          <t>P3</t>
        </is>
      </c>
      <c r="E62" s="7" t="inlineStr">
        <is>
          <t>Outreach Coordinator, Centre Head, Facilitator and Counsellor, Skilling Partner</t>
        </is>
      </c>
      <c r="F62" s="7" t="inlineStr">
        <is>
          <t>/oc/tasks, /ch/ch-tasks, /ch/individual-target, /ch/staff-monitoring, /fc/tasks, /sp/tasks</t>
        </is>
      </c>
      <c r="G62" s="7" t="inlineStr">
        <is>
          <t>1. Sign in as an authenticated staff account.
2. Call outreach.apis.task.task.update_task omitting a required argument, or with an argument of the wrong type.
3. Read the HTTP status and the response body.</t>
        </is>
      </c>
      <c r="H62" s="7" t="inlineStr">
        <is>
          <t>A 4xx response with a message the caller can act on. No stack trace and no HTTP 500.</t>
        </is>
      </c>
      <c r="I62"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J62" s="7" t="inlineStr">
        <is>
          <t>give optional parameters defaults and validate presence explicitly, returning 400 with the missing field named. This is idiomatic Frappe; the endpoints that get it right (e.g. create_task with .get()) show the pattern.</t>
        </is>
      </c>
      <c r="K62" s="9" t="inlineStr">
        <is>
          <t>Open</t>
        </is>
      </c>
    </row>
    <row r="63">
      <c r="A63" s="6" t="inlineStr">
        <is>
          <t>WC-096</t>
        </is>
      </c>
      <c r="B63" s="7" t="inlineStr">
        <is>
          <t>Skilling Invoice validate() raises a SQL error on a missing column</t>
        </is>
      </c>
      <c r="C63" s="11" t="inlineStr">
        <is>
          <t>S3 Major</t>
        </is>
      </c>
      <c r="D63" s="7" t="inlineStr">
        <is>
          <t>P3</t>
        </is>
      </c>
      <c r="E63" s="7" t="inlineStr">
        <is>
          <t>All personas / not role-specific</t>
        </is>
      </c>
      <c r="F63" s="7" t="inlineStr"/>
      <c r="G63" s="7" t="inlineStr">
        <is>
          <t>1. Create or save a Skilling Invoice on an install built from the repositories.
2. The doctype's validate() method runs on save and queries a column that is not present in the schema.
3. The save fails with a SQL error naming the missing column.</t>
        </is>
      </c>
      <c r="H63" s="7" t="inlineStr">
        <is>
          <t>A 4xx response with a message the caller can act on. No stack trace and no HTTP 500.</t>
        </is>
      </c>
      <c r="I63"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J63"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K63" s="9" t="inlineStr">
        <is>
          <t>Open</t>
        </is>
      </c>
    </row>
    <row r="64">
      <c r="A64" s="6" t="inlineStr">
        <is>
          <t>WC-101</t>
        </is>
      </c>
      <c r="B64" s="7" t="inlineStr">
        <is>
          <t>add_remarks crashes with an unhandled ValueError on an empty sequence</t>
        </is>
      </c>
      <c r="C64" s="11" t="inlineStr">
        <is>
          <t>S3 Major</t>
        </is>
      </c>
      <c r="D64" s="7" t="inlineStr">
        <is>
          <t>P3</t>
        </is>
      </c>
      <c r="E64" s="7" t="inlineStr">
        <is>
          <t>Skilling Manager, Skilling Partner, Skilling Youth Coordinator</t>
        </is>
      </c>
      <c r="F64" s="7" t="inlineStr">
        <is>
          <t>/sm/follow-ups, /sp/follow-ups, /syc/assessments, /syc/assignments</t>
        </is>
      </c>
      <c r="G64" s="7" t="inlineStr">
        <is>
          <t>1. Sign in as an authenticated staff account.
2. Call youth_skilling.api.actions.add_remarks omitting a required argument, or with an argument of the wrong type.
3. Read the HTTP status and the response body.</t>
        </is>
      </c>
      <c r="H64" s="7" t="inlineStr">
        <is>
          <t>A 4xx response with a message the caller can act on. No stack trace and no HTTP 500.</t>
        </is>
      </c>
      <c r="I64" s="7" t="inlineStr">
        <is>
          <t>calling it for a youth in the Standby stage returned HTTP 500 with ValueError: max() arg is an empty sequence — the code calls max() over a collection (likely the youth's screening or call records) without handling the empty case.</t>
        </is>
      </c>
      <c r="J64" s="7" t="inlineStr">
        <is>
          <t>guard the aggregation (max(seq, default=...) or an emptiness check).</t>
        </is>
      </c>
      <c r="K64" s="9" t="inlineStr">
        <is>
          <t>Open</t>
        </is>
      </c>
    </row>
    <row r="65">
      <c r="A65" s="6" t="inlineStr">
        <is>
          <t>WC-104</t>
        </is>
      </c>
      <c r="B65" s="7" t="inlineStr">
        <is>
          <t>mark_attendance requires a pre-existing attendance record, and says so only generically</t>
        </is>
      </c>
      <c r="C65" s="11" t="inlineStr">
        <is>
          <t>S3 Major</t>
        </is>
      </c>
      <c r="D65" s="7" t="inlineStr">
        <is>
          <t>P3</t>
        </is>
      </c>
      <c r="E65" s="7" t="inlineStr">
        <is>
          <t>Skilling Partner, Placement Manager</t>
        </is>
      </c>
      <c r="F65" s="7" t="inlineStr">
        <is>
          <t>/sp/assessment, /sp/assignment, /sp/assignment-test, /pm/calling-history, /pm/entrepreneurship, /pm/entrepreneurship/bus</t>
        </is>
      </c>
      <c r="G65" s="7" t="inlineStr">
        <is>
          <t>1. Sign in as an authenticated staff account.
2. Call youth_skilling.api.batch_management.mark_attendance in a way that must fail (an invalid identifier, a missing field).
3. Compare the HTTP status against the body's own success flag.</t>
        </is>
      </c>
      <c r="H65" s="7" t="inlineStr">
        <is>
          <t>The HTTP status matches the outcome: a failure returns 4xx/5xx, never 200, and the response shape is consistent.</t>
        </is>
      </c>
      <c r="I65"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J65" s="7" t="inlineStr">
        <is>
          <t>either create the attendance record on demand, or surface the specific reason in the top-level message. Document the precondition in the docstring either way.</t>
        </is>
      </c>
      <c r="K65" s="9" t="inlineStr">
        <is>
          <t>Open</t>
        </is>
      </c>
    </row>
    <row r="66">
      <c r="A66" s="6" t="inlineStr">
        <is>
          <t>WC-108</t>
        </is>
      </c>
      <c r="B66" s="7" t="inlineStr">
        <is>
          <t>db_create.py assigns undefined identifiers as database connection settings</t>
        </is>
      </c>
      <c r="C66" s="11" t="inlineStr">
        <is>
          <t>S3 Major</t>
        </is>
      </c>
      <c r="D66" s="7" t="inlineStr">
        <is>
          <t>P3</t>
        </is>
      </c>
      <c r="E66" s="7" t="inlineStr">
        <is>
          <t>All personas / not role-specific</t>
        </is>
      </c>
      <c r="F66" s="7" t="inlineStr">
        <is>
          <t>Lighthouse-Communities-Foundation/data-pipeline-dashboard, db_create.py:4-8.</t>
        </is>
      </c>
      <c r="G66" s="7" t="inlineStr">
        <is>
          <t>Inspection, not a runtime reproduction.
1. Open Lighthouse-Communities-Foundation/data-pipeline-dashboard, db_create.py:4-8.
2. Confirm what the Actual Result column describes is present (or absent).
3. Full reasoning is in findings/findings-log.md under WC-108.</t>
        </is>
      </c>
      <c r="H66" s="7" t="inlineStr">
        <is>
          <t>Everything needed to build and run the platform is present in the repositories the foundation owns.</t>
        </is>
      </c>
      <c r="I66" s="7" t="inlineStr">
        <is>
          <t>DB_HOST = yor_host_name, DB_NAME = database_name, DB_USER = user_name, DB_PASSWORD = db_password — bare identifiers, not strings, so the module raises NameError on import. Note the typo yor_host_name.</t>
        </is>
      </c>
      <c r="J66" s="7" t="inlineStr">
        <is>
          <t>read these from the environment (os.environ), as the Google credentials already are, and remove the placeholders.</t>
        </is>
      </c>
      <c r="K66" s="9" t="inlineStr">
        <is>
          <t>Open</t>
        </is>
      </c>
    </row>
    <row r="67">
      <c r="A67" s="6" t="inlineStr">
        <is>
          <t>WC-114</t>
        </is>
      </c>
      <c r="B67" s="7" t="inlineStr">
        <is>
          <t>Mass assignment is blocked on one endpoint by design and on another only by an existing defect</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1. Sign in as an authenticated staff account.
2. Call outreach.apis.pre_enquiry.form.update_form_data with the fields it documents PLUS one it never mentions.
3. Read the record back from the database and check whether the undeclared field was written.</t>
        </is>
      </c>
      <c r="H67" s="7" t="inlineStr">
        <is>
          <t>Only the fields the endpoint declares are written. Any other field in the payload is rejected.</t>
        </is>
      </c>
      <c r="I67"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J67" s="7" t="inlineStr">
        <is>
          <t>adopt the Pre Enquiry allowlist pattern across every endpoint that accepts a data payload, and add a test asserting that a system-controlled property such as owner or docstatus cannot be set through any of them.</t>
        </is>
      </c>
      <c r="K67" s="9" t="inlineStr">
        <is>
          <t>Open</t>
        </is>
      </c>
    </row>
    <row r="68">
      <c r="A68" s="6" t="inlineStr">
        <is>
          <t>WC-117</t>
        </is>
      </c>
      <c r="B68" s="7" t="inlineStr">
        <is>
          <t>Brute-force lockout is applied per source IP as well as per account, and reports itself as a server error</t>
        </is>
      </c>
      <c r="C68" s="11" t="inlineStr">
        <is>
          <t>S3 Major</t>
        </is>
      </c>
      <c r="D68" s="7" t="inlineStr">
        <is>
          <t>P3</t>
        </is>
      </c>
      <c r="E68" s="7" t="inlineStr">
        <is>
          <t>any persona (login)</t>
        </is>
      </c>
      <c r="F68" s="7" t="inlineStr"/>
      <c r="G68" s="7" t="inlineStr">
        <is>
          <t>1. No sign-in needed for the header checks.
2. Issue the request described in the Actual Result column against the deployed host.
3. Inspect the response headers (or the cookie attributes) rather than the body.
4. Fastest route: node verify/run.mjs --only WC-117</t>
        </is>
      </c>
      <c r="H68" s="7" t="inlineStr">
        <is>
          <t>The protective setting is in place and the unsafe request is refused.</t>
        </is>
      </c>
      <c r="I68" s="7" t="inlineStr">
        <is>
          <t>after failed attempts against one account, a *different* account was refused from the same address on its first attempt.</t>
        </is>
      </c>
      <c r="J68" s="7" t="inlineStr">
        <is>
          <t>return 429 with a Retry-After header rather than 500. Review whether the per-IP tracker is appropriate for a deployment where many legitimate users share an address, and if it is retained, set its threshold well above the per-account one.</t>
        </is>
      </c>
      <c r="K68" s="9" t="inlineStr">
        <is>
          <t>Open</t>
        </is>
      </c>
    </row>
    <row r="69">
      <c r="A69" s="6" t="inlineStr">
        <is>
          <t>WC-063</t>
        </is>
      </c>
      <c r="B69" s="7" t="inlineStr">
        <is>
          <t>A stale doctype folder declares the same name as its replacement</t>
        </is>
      </c>
      <c r="C69" s="12" t="inlineStr">
        <is>
          <t>S4 Minor</t>
        </is>
      </c>
      <c r="D69" s="7" t="inlineStr">
        <is>
          <t>P4</t>
        </is>
      </c>
      <c r="E69" s="7" t="inlineStr">
        <is>
          <t>All personas / not role-specific</t>
        </is>
      </c>
      <c r="F69" s="7" t="inlineStr">
        <is>
          <t>weconnect-backend-outreach - outreach/outreach/doctype/google_form_settings/google_form_settings.json - outreach/outreach/doctype/google_integration_settings/google_integration_settings.json</t>
        </is>
      </c>
      <c r="G6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H69" s="7" t="inlineStr">
        <is>
          <t>Everything needed to build and run the platform is present in the repositories the foundation owns.</t>
        </is>
      </c>
      <c r="I6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J69" s="7" t="inlineStr">
        <is>
          <t>delete the google_form_settings/ folder.</t>
        </is>
      </c>
      <c r="K69" s="9" t="inlineStr">
        <is>
          <t>Open</t>
        </is>
      </c>
    </row>
    <row r="70">
      <c r="A70" s="6" t="inlineStr">
        <is>
          <t>WC-120</t>
        </is>
      </c>
      <c r="B70" s="7" t="inlineStr">
        <is>
          <t>File upload accepts any type and any size, though two controls reduce the impact</t>
        </is>
      </c>
      <c r="C70" s="12" t="inlineStr">
        <is>
          <t>S4 Minor</t>
        </is>
      </c>
      <c r="D70" s="7" t="inlineStr">
        <is>
          <t>P4</t>
        </is>
      </c>
      <c r="E70" s="7" t="inlineStr">
        <is>
          <t>All personas / not role-specific</t>
        </is>
      </c>
      <c r="F70" s="7" t="inlineStr">
        <is>
          <t>outreach/apis/registration/files.py upload_file, and the sibling facilitator_and_counsellor/api/registration_form_B/files.py.</t>
        </is>
      </c>
      <c r="G7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H70" s="7" t="inlineStr">
        <is>
          <t>The endpoint checks the caller's authorisation before acting, and refuses the call when the caller is not permitted.</t>
        </is>
      </c>
      <c r="I7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J70" s="7" t="inlineStr">
        <is>
          <t>add an extension/type allowlist appropriate to the documents these forms expect (PDF and common image types), enforce a maximum size, and derive the content type from the file content rather than its name.</t>
        </is>
      </c>
      <c r="K70" s="9" t="inlineStr">
        <is>
          <t>Open</t>
        </is>
      </c>
    </row>
  </sheetData>
  <autoFilter ref="A4:K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Frontend defects — front-end team</t>
        </is>
      </c>
    </row>
    <row r="2">
      <c r="A2" s="13" t="inlineStr">
        <is>
          <t>Defects fixed in the frontend applications (React). 21 of 87 defects. Steps here are written click-by-click: which account, which URL, what to open, what you will see. Accounts: OC kak713.oc@lighthouseconnect.org, CH kak713.ch@, FC kak713.fc@ — all password Kak@123.</t>
        </is>
      </c>
    </row>
    <row r="3"/>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WC-013</t>
        </is>
      </c>
      <c r="B5" s="7" t="inlineStr">
        <is>
          <t>Long-lived API secret stored in localStorage</t>
        </is>
      </c>
      <c r="C5" s="10" t="inlineStr">
        <is>
          <t>S2 Critical</t>
        </is>
      </c>
      <c r="D5" s="7" t="inlineStr">
        <is>
          <t>P2</t>
        </is>
      </c>
      <c r="E5" s="7" t="inlineStr">
        <is>
          <t>any persona (login)</t>
        </is>
      </c>
      <c r="F5" s="7" t="inlineStr">
        <is>
          <t>all persona frontends, src/axios-setup.js + zustand/auth-store.js</t>
        </is>
      </c>
      <c r="G5" s="7" t="inlineStr">
        <is>
          <t>1. Account: sign in as OC — kak713.oc@lighthouseconnect.org / Kak@123 (any account works).
2. Press F12 -&gt; click the Application tab (Chrome) or Storage tab (Firefox).
3. In the left panel expand Local Storage -&gt; click the uat.lighthouseconnect.org entry.
4. In the table, find the keys api_key and api_secret — their values are shown in plain text.
5. Point out: this is the account's API credential, sitting in localStorage where any script on the page (or a browser extension) can read it, and it stays valid for seven days.</t>
        </is>
      </c>
      <c r="H5" s="7" t="inlineStr">
        <is>
          <t>The protective setting is in place and the unsafe request is refused.</t>
        </is>
      </c>
      <c r="I5" s="7" t="inlineStr">
        <is>
          <t>login stores Frappe api_key/api_secret in localStorage; every request sends Authorization: token &lt;key&gt;:&lt;secret&gt;.</t>
        </is>
      </c>
      <c r="J5"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K5" s="9" t="inlineStr">
        <is>
          <t>Open</t>
        </is>
      </c>
    </row>
    <row r="6">
      <c r="A6" s="6" t="inlineStr">
        <is>
          <t>WC-016</t>
        </is>
      </c>
      <c r="B6" s="7" t="inlineStr">
        <is>
          <t>14 routes render blank on direct load</t>
        </is>
      </c>
      <c r="C6" s="10" t="inlineStr">
        <is>
          <t>S2 Critical</t>
        </is>
      </c>
      <c r="D6" s="7" t="inlineStr">
        <is>
          <t>P2</t>
        </is>
      </c>
      <c r="E6" s="7" t="inlineStr">
        <is>
          <t>Facilitator and Counsellor, Skilling Partner, Skilling Youth Coordinator</t>
        </is>
      </c>
      <c r="F6" s="7" t="inlineStr"/>
      <c r="G6" s="7" t="inlineStr">
        <is>
          <t>1. Account: sign in as FC — kak713.fc@lighthouseconnect.org / Kak@123.
2. In the address bar, type the URL directly: uat.lighthouseconnect.org/fc/badge-table (do not click to it from the menu — type or paste it).
3. Press Enter. The page loads blank — header/sidebar only, no content.
4. Press F12 to open developer tools, click the Console tab.
5. Read the red error: "Cannot read properties of null (reading 'viewType')".
6. Now reach the same screen by clicking through the app's menu instead — it renders. The bug is that the screen only works when opened from inside the app, not by direct URL, refresh, or bookmark.
7. Repeat for /fc/view-post-test and /fc/batch-management/view-batch to show it is not a one-off.</t>
        </is>
      </c>
      <c r="H6" s="7" t="inlineStr">
        <is>
          <t>The screen renders its content when the URL is opened directly, refreshed, or reached from a bookmark.</t>
        </is>
      </c>
      <c r="I6"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J6"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K6" s="9" t="inlineStr">
        <is>
          <t>Open</t>
        </is>
      </c>
    </row>
    <row r="7">
      <c r="A7" s="6" t="inlineStr">
        <is>
          <t>WC-017</t>
        </is>
      </c>
      <c r="B7" s="7" t="inlineStr">
        <is>
          <t>Two "group-based" routes fail identically in both FC and SYC</t>
        </is>
      </c>
      <c r="C7" s="10" t="inlineStr">
        <is>
          <t>S2 Critical</t>
        </is>
      </c>
      <c r="D7" s="7" t="inlineStr">
        <is>
          <t>P2</t>
        </is>
      </c>
      <c r="E7" s="7" t="inlineStr">
        <is>
          <t>All personas / not role-specific</t>
        </is>
      </c>
      <c r="F7" s="7" t="inlineStr">
        <is>
          <t>group-based-counselling/attendance and group-based-assign-youth-status, blank in both personas.</t>
        </is>
      </c>
      <c r="G7" s="7" t="inlineStr">
        <is>
          <t>1. Account: sign in as FC — kak713.fc@lighthouseconnect.org / Kak@123.
2. Paste into the address bar: uat.lighthouseconnect.org/fc/group-based-counselling/attendance
3. Press Enter — the screen is blank.
4. F12 -&gt; Console -&gt; read: "Cannot read properties of null (reading 'length')".
5. The identical screen fails the same way in the SYC app, confirming it is one shared component, not two separate bugs.</t>
        </is>
      </c>
      <c r="H7" s="7" t="inlineStr">
        <is>
          <t>The screen renders its content when the URL is opened directly, refreshed, or reached from a bookmark.</t>
        </is>
      </c>
      <c r="I7" s="7" t="inlineStr">
        <is>
          <t>two independent apps failing on the same two route names points at a shared component (persona-common-components) or a shared route-state contract, not at two coincidental per-app bugs. One fix likely clears four failures.</t>
        </is>
      </c>
      <c r="J7" s="7" t="inlineStr">
        <is>
          <t>the same null navigation state as the 14 blank routes — identical cause, identical remedy. Read identifiers from URL parameters rather than router state.</t>
        </is>
      </c>
      <c r="K7" s="9" t="inlineStr">
        <is>
          <t>Open</t>
        </is>
      </c>
    </row>
    <row r="8">
      <c r="A8" s="6" t="inlineStr">
        <is>
          <t>WC-027</t>
        </is>
      </c>
      <c r="B8" s="7" t="inlineStr">
        <is>
          <t>Systematic WCAG critical violations, concentrated in shared navigation</t>
        </is>
      </c>
      <c r="C8" s="10" t="inlineStr">
        <is>
          <t>S2 Critical</t>
        </is>
      </c>
      <c r="D8" s="7" t="inlineStr">
        <is>
          <t>P2</t>
        </is>
      </c>
      <c r="E8" s="7" t="inlineStr">
        <is>
          <t>All personas / not role-specific</t>
        </is>
      </c>
      <c r="F8" s="7" t="inlineStr"/>
      <c r="G8" s="7" t="inlineStr">
        <is>
          <t>1. Account: sign in as any persona (OC).
2. On any screen, right-click the left-hand navigation sidebar -&gt; Inspect.
3. In the Elements panel, observe the list markup: &lt;li&gt; items that are not wrapped in a &lt;ul&gt;, and navigation images with no alt attribute.
4. A screen-reader user cannot identify these navigation items. This markup is in the shared sidebar, so it is wrong on every page of every persona app.
5. For the full list, run axe DevTools (browser extension) on any page, or see our recorded axe-core results.</t>
        </is>
      </c>
      <c r="H8" s="7" t="inlineStr">
        <is>
          <t>The element meets WCAG 2.1 AA.</t>
        </is>
      </c>
      <c r="I8"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J8" s="7" t="inlineStr">
        <is>
          <t>correct the sidebar list markup (&lt;li&gt; inside &lt;ul&gt;), add alt to nav icons, give icon-only buttons an aria-label, and remove ARIA attributes not permitted on their roles — all in the shared navigation component.</t>
        </is>
      </c>
      <c r="K8" s="9" t="inlineStr">
        <is>
          <t>Open</t>
        </is>
      </c>
    </row>
    <row r="9">
      <c r="A9" s="6" t="inlineStr">
        <is>
          <t>WC-112</t>
        </is>
      </c>
      <c r="B9" s="7" t="inlineStr">
        <is>
          <t>The frontend is served with no security headers at all</t>
        </is>
      </c>
      <c r="C9" s="10" t="inlineStr">
        <is>
          <t>S2 Critical</t>
        </is>
      </c>
      <c r="D9" s="7" t="inlineStr">
        <is>
          <t>P2</t>
        </is>
      </c>
      <c r="E9" s="7" t="inlineStr">
        <is>
          <t>no account required (unauthenticated)</t>
        </is>
      </c>
      <c r="F9" s="7" t="inlineStr"/>
      <c r="G9" s="7" t="inlineStr">
        <is>
          <t>1. Account: none needed — do this on the login page.
2. Open uat.lighthouseconnect.org, press F12 -&gt; Network tab, then reload the page.
3. In the Network list click the very first request (the document / the app URL itself).
4. Open the Response Headers section on the right.
5. Point out what is ABSENT: no Content-Security-Policy, no X-Frame-Options, no X-Content-Type-Options, no Strict-Transport-Security, no Referrer-Policy.
6. Fastest confirmation for the record: run node verify/run.mjs --only WC-112 which checks all five headers at once.</t>
        </is>
      </c>
      <c r="H9" s="7" t="inlineStr">
        <is>
          <t>The protective setting is in place and the unsafe request is refused.</t>
        </is>
      </c>
      <c r="I9"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 (full detail in the findings register)</t>
        </is>
      </c>
      <c r="J9"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K9" s="9" t="inlineStr">
        <is>
          <t>Open</t>
        </is>
      </c>
    </row>
    <row r="10">
      <c r="A10" s="6" t="inlineStr">
        <is>
          <t>WC-133</t>
        </is>
      </c>
      <c r="B10" s="7" t="inlineStr">
        <is>
          <t>Six of the seven frontend applications have no React error boundary, so any component crash blanks the whole screen</t>
        </is>
      </c>
      <c r="C10" s="10" t="inlineStr">
        <is>
          <t>S2 Critical</t>
        </is>
      </c>
      <c r="D10" s="7" t="inlineStr">
        <is>
          <t>P2</t>
        </is>
      </c>
      <c r="E10" s="7" t="inlineStr">
        <is>
          <t>all personas (affects every app except SP)</t>
        </is>
      </c>
      <c r="F10" s="7" t="inlineStr">
        <is>
          <t>all routes</t>
        </is>
      </c>
      <c r="G10"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H10" s="7" t="inlineStr">
        <is>
          <t>A component fault is contained by an error boundary and shows a fallback, not a blank page.</t>
        </is>
      </c>
      <c r="I10" s="7" t="inlineStr">
        <is>
          <t>No ErrorBoundary/componentDidCatch/errorElement in OC, auth, ch, fc, sm, syc. Only weconnect-frontend-sp has a real error-boundary.jsx wired into its layout.</t>
        </is>
      </c>
      <c r="J10" s="7" t="inlineStr">
        <is>
          <t>Copy weconnect-frontend-sp's error-boundary.jsx into the other six apps and wrap each router/layout in it. This contains future crashes; it does not replace the null-guard fix at WC-043.</t>
        </is>
      </c>
      <c r="K10" s="9" t="inlineStr">
        <is>
          <t>Open</t>
        </is>
      </c>
    </row>
    <row r="11">
      <c r="A11" s="6" t="inlineStr">
        <is>
          <t>WC-004</t>
        </is>
      </c>
      <c r="B11" s="7" t="inlineStr">
        <is>
          <t>Committed env files in frontend repos</t>
        </is>
      </c>
      <c r="C11" s="11" t="inlineStr">
        <is>
          <t>S3 Major</t>
        </is>
      </c>
      <c r="D11" s="7" t="inlineStr">
        <is>
          <t>P2</t>
        </is>
      </c>
      <c r="E11" s="7" t="inlineStr">
        <is>
          <t>Facilitator and Counsellor</t>
        </is>
      </c>
      <c r="F11" s="7" t="inlineStr">
        <is>
          <t>weconnect-frontend-fc repo, dev branch: .env, .env.uat, .env.prod tracked</t>
        </is>
      </c>
      <c r="G11" s="7" t="inlineStr">
        <is>
          <t>1. Shown in the repository.
2. Open any frontend repo and confirm .env, .env.uat and .env.prod are committed (they appear in the file list and in git history).
3. Environment configuration should be supplied at build time, not committed to source.</t>
        </is>
      </c>
      <c r="H11" s="7" t="inlineStr">
        <is>
          <t>Everything needed to build and run the platform is present in the repositories the foundation owns.</t>
        </is>
      </c>
      <c r="I11" s="7" t="inlineStr">
        <is>
          <t>hygiene; .env.prod should not be committed. (Contents not inspected.)</t>
        </is>
      </c>
      <c r="J11"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K11" s="9" t="inlineStr">
        <is>
          <t>Open</t>
        </is>
      </c>
    </row>
    <row r="12">
      <c r="A12" s="6" t="inlineStr">
        <is>
          <t>WC-005</t>
        </is>
      </c>
      <c r="B12" s="7" t="inlineStr">
        <is>
          <t>Forgot Password link is a dead anchor</t>
        </is>
      </c>
      <c r="C12" s="11" t="inlineStr">
        <is>
          <t>S3 Major</t>
        </is>
      </c>
      <c r="D12" s="7" t="inlineStr">
        <is>
          <t>P3</t>
        </is>
      </c>
      <c r="E12" s="7" t="inlineStr">
        <is>
          <t>shared login application</t>
        </is>
      </c>
      <c r="F12" s="7" t="inlineStr">
        <is>
          <t>/authentication/forget-password</t>
        </is>
      </c>
      <c r="G12" s="7" t="inlineStr">
        <is>
          <t>1. Account: none — the login page.
2. Open the login screen and click the 'Forgot Password' link.
3. Observe: nothing happens — the link does not navigate. Right-click it -&gt; Inspect and confirm the anchor points at href="#" rather than the reset route.
4. Effect: a user who forgets their password has no working way to reset it from the UI.</t>
        </is>
      </c>
      <c r="H12" s="7" t="inlineStr">
        <is>
          <t>The screen renders its content when the URL is opened directly, refreshed, or reached from a bookmark.</t>
        </is>
      </c>
      <c r="I12" s="7" t="inlineStr">
        <is>
          <t>"Forgot Password?" href="#" — no destination.</t>
        </is>
      </c>
      <c r="J12"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K12" s="9" t="inlineStr">
        <is>
          <t>Open</t>
        </is>
      </c>
    </row>
    <row r="13">
      <c r="A13" s="6" t="inlineStr">
        <is>
          <t>WC-006</t>
        </is>
      </c>
      <c r="B13" s="7" t="inlineStr">
        <is>
          <t>Password field missing autocomplete attribute</t>
        </is>
      </c>
      <c r="C13" s="11" t="inlineStr">
        <is>
          <t>S3 Major</t>
        </is>
      </c>
      <c r="D13" s="7" t="inlineStr">
        <is>
          <t>P3</t>
        </is>
      </c>
      <c r="E13" s="7" t="inlineStr">
        <is>
          <t>All personas / not role-specific</t>
        </is>
      </c>
      <c r="F13" s="7" t="inlineStr">
        <is>
          <t>/authentication/login</t>
        </is>
      </c>
      <c r="G13" s="7" t="inlineStr">
        <is>
          <t>1. Account: none — the login page.
2. Open uat.lighthouseconnect.org login screen.
3. Right-click the password field -&gt; Inspect.
4. In the Elements panel, read the &lt;input&gt; tag: it has type="password" but no autocomplete="current-password" attribute.
5. Effect: password managers and browser autofill do not reliably recognise the field.</t>
        </is>
      </c>
      <c r="H13" s="7" t="inlineStr">
        <is>
          <t>The element meets WCAG 2.1 AA.</t>
        </is>
      </c>
      <c r="I13" s="7" t="inlineStr">
        <is>
          <t>Chrome DOM warning; breaks password managers / a11y.</t>
        </is>
      </c>
      <c r="J13" s="7" t="inlineStr">
        <is>
          <t>add autocomplete="current-password" to the login password input (and autocomplete="username" to the identifier field). One attribute each; it restores password manager support and clears the browser console warning.</t>
        </is>
      </c>
      <c r="K13" s="9" t="inlineStr">
        <is>
          <t>Open</t>
        </is>
      </c>
    </row>
    <row r="14">
      <c r="A14" s="6" t="inlineStr">
        <is>
          <t>WC-028</t>
        </is>
      </c>
      <c r="B14" s="7" t="inlineStr">
        <is>
          <t>Colour contrast below WCAG AA on 13 routes</t>
        </is>
      </c>
      <c r="C14" s="11" t="inlineStr">
        <is>
          <t>S3 Major</t>
        </is>
      </c>
      <c r="D14" s="7" t="inlineStr">
        <is>
          <t>P3</t>
        </is>
      </c>
      <c r="E14" s="7" t="inlineStr">
        <is>
          <t>All personas / not role-specific</t>
        </is>
      </c>
      <c r="F14" s="7" t="inlineStr"/>
      <c r="G14" s="7" t="inlineStr">
        <is>
          <t>1. Account: sign in as any persona (OC).
2. Open any dashboard. Right-click a faint label or secondary button -&gt; Inspect.
3. In DevTools, the Accessibility / Contrast indicator shows the text/background ratio below the WCAG AA threshold of 4.5:1.
4. This was measured across 13 routes; the failures sit in shared components so they recur widely.</t>
        </is>
      </c>
      <c r="H14" s="7" t="inlineStr">
        <is>
          <t>The element meets WCAG 2.1 AA.</t>
        </is>
      </c>
      <c r="I14" s="7" t="inlineStr">
        <is>
          <t>color-contrast, serious, 13 routes, 43 elements.</t>
        </is>
      </c>
      <c r="J14"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K14" s="9" t="inlineStr">
        <is>
          <t>Open</t>
        </is>
      </c>
    </row>
    <row r="15">
      <c r="A15" s="6" t="inlineStr">
        <is>
          <t>WC-127</t>
        </is>
      </c>
      <c r="B15" s="7" t="inlineStr">
        <is>
          <t>Frontend dependencies carry known high-severity advisories, including the HTTP client used by every application</t>
        </is>
      </c>
      <c r="C15" s="11" t="inlineStr">
        <is>
          <t>S3 Major</t>
        </is>
      </c>
      <c r="D15" s="7" t="inlineStr">
        <is>
          <t>P3</t>
        </is>
      </c>
      <c r="E15" s="7" t="inlineStr">
        <is>
          <t>All personas / not role-specific</t>
        </is>
      </c>
      <c r="F15" s="7" t="inlineStr"/>
      <c r="G15" s="7" t="inlineStr">
        <is>
          <t>1. Shown by running one command per app.
2. In any frontend repo run: npm audit --audit-level=high
3. Read the summary. Across the nine JS projects there are 14 critical and 181 high advisories; the four criticals are test tooling, but axios — the HTTP client used for every API call — is affected in 8 of 9 apps.</t>
        </is>
      </c>
      <c r="H15" s="7" t="inlineStr">
        <is>
          <t>Build and release hygiene: no development artefacts, warnings or broken copy in a deployed application.</t>
        </is>
      </c>
      <c r="I1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J1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K15" s="9" t="inlineStr">
        <is>
          <t>Open</t>
        </is>
      </c>
    </row>
    <row r="16">
      <c r="A16" s="6" t="inlineStr">
        <is>
          <t>WC-129</t>
        </is>
      </c>
      <c r="B16" s="7" t="inlineStr">
        <is>
          <t>Two live Google API keys are committed to the repositories, one hardcoded in a source file</t>
        </is>
      </c>
      <c r="C16" s="11" t="inlineStr">
        <is>
          <t>S3 Major</t>
        </is>
      </c>
      <c r="D16" s="7" t="inlineStr">
        <is>
          <t>P3</t>
        </is>
      </c>
      <c r="E16" s="7" t="inlineStr">
        <is>
          <t>not role-specific</t>
        </is>
      </c>
      <c r="F16" s="7" t="inlineStr"/>
      <c r="G16" s="7" t="inlineStr">
        <is>
          <t>1. Shown in source.
2. Open weconnect-frontend/.env (and .env.uat, .env.prod): VITE_MAP_API_KEY holds a live Google key in plain text.
3. Open weconnect-frontend-fc/src/components/google-map/google-map.jsx: a second key is hardcoded directly in the source.
4. Both are in git history, so they must be rotated, not just deleted.</t>
        </is>
      </c>
      <c r="H16" s="7" t="inlineStr">
        <is>
          <t>No API key is committed; keys live in the build environment and are restricted by HTTP referrer.</t>
        </is>
      </c>
      <c r="I1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J16" s="7" t="inlineStr">
        <is>
          <t>Rotate both keys in the Google Cloud console (deleting the lines does not help — they are in git history). Move the replacement into the build environment, restrict by HTTP referrer to the foundation's hosts, and remove the hardcoded key from google-map.jsx.</t>
        </is>
      </c>
      <c r="K16" s="9" t="inlineStr">
        <is>
          <t>Open</t>
        </is>
      </c>
    </row>
    <row r="17">
      <c r="A17" s="6" t="inlineStr">
        <is>
          <t>WC-130</t>
        </is>
      </c>
      <c r="B17" s="7" t="inlineStr">
        <is>
          <t>Backend-supplied content is rendered as raw HTML, giving a stored cross-site scripting path</t>
        </is>
      </c>
      <c r="C17" s="11" t="inlineStr">
        <is>
          <t>S3 Major</t>
        </is>
      </c>
      <c r="D17" s="7" t="inlineStr">
        <is>
          <t>P3</t>
        </is>
      </c>
      <c r="E17" s="7" t="inlineStr">
        <is>
          <t>Outreach Coordinator (community dashboard viewer)</t>
        </is>
      </c>
      <c r="F17" s="7" t="inlineStr">
        <is>
          <t>/oc community dashboard (outreach-community)</t>
        </is>
      </c>
      <c r="G17" s="7" t="inlineStr">
        <is>
          <t>1. This is shown in the source, not the running app (demonstrating it live could execute injected HTML).
2. Open the repo file: weconnect-frontend/src/pages/outreach-planning/outreach-community/target-card.jsx, line 147.
3. Point to: dangerouslySetInnerHTML={{ __html: strategy }} — this renders backend-supplied text as raw HTML, bypassing React's escaping.
4. The open question for the client: who can edit the 'recommended strategy' text? If any user can, a script stored there runs for everyone who opens the community dashboard.</t>
        </is>
      </c>
      <c r="H17" s="7" t="inlineStr">
        <is>
          <t>User-supplied content is escaped or sanitised before rendering; raw HTML is not injected.</t>
        </is>
      </c>
      <c r="I17" s="7" t="inlineStr">
        <is>
          <t>One dangerouslySetInnerHTML across the entire frontend estate, at target-card.jsx:147, rendering the backend-supplied 'strategy' string as raw HTML. Whether the field is user-writable is not yet confirmed.</t>
        </is>
      </c>
      <c r="J17" s="7" t="inlineStr">
        <is>
          <t>If the field only needs bold or line breaks, render as text and format in the component. If HTML must be supported, sanitise on input with an allowlist (DOMPurify). First answer: who can edit the recommended strategy text?</t>
        </is>
      </c>
      <c r="K17" s="9" t="inlineStr">
        <is>
          <t>Open</t>
        </is>
      </c>
    </row>
    <row r="18">
      <c r="A18" s="6" t="inlineStr">
        <is>
          <t>WC-134</t>
        </is>
      </c>
      <c r="B18" s="7" t="inlineStr">
        <is>
          <t>264 image elements across the frontend have no alt attribute, concentrated in shared components</t>
        </is>
      </c>
      <c r="C18" s="11" t="inlineStr">
        <is>
          <t>S3 Major</t>
        </is>
      </c>
      <c r="D18" s="7" t="inlineStr">
        <is>
          <t>P3</t>
        </is>
      </c>
      <c r="E18" s="7" t="inlineStr">
        <is>
          <t>all personas</t>
        </is>
      </c>
      <c r="F18" s="7" t="inlineStr">
        <is>
          <t>shared components + 107 page-level</t>
        </is>
      </c>
      <c r="G18" s="7" t="inlineStr">
        <is>
          <t>1. In any frontend repo run: grep -rn '&lt;img' src; grep -v alt= (or run axe DevTools on any page).
2. Confirm the &lt;img&gt; elements have no alt attribute.
3. Start with the 157 in shared/common components — fixing those helps every screen that uses them.</t>
        </is>
      </c>
      <c r="H18" s="7" t="inlineStr">
        <is>
          <t>Every &lt;img&gt; has an alt attribute: descriptive for meaningful images, empty (alt="") for decorative ones.</t>
        </is>
      </c>
      <c r="I18" s="7" t="inlineStr">
        <is>
          <t>264 &lt;img&gt; with no alt across the estate — SM 72, SP 59, SYC 49, FC 27, persona-common 27, CH 17, OC 13. 157 sit in shared components.</t>
        </is>
      </c>
      <c r="J18" s="7" t="inlineStr">
        <is>
          <t>Add alt="" to decorative images and a short description to meaningful ones, shared components first. Add the jsx-a11y/alt-text lint rule to prevent recurrence.</t>
        </is>
      </c>
      <c r="K18" s="9" t="inlineStr">
        <is>
          <t>Open</t>
        </is>
      </c>
    </row>
    <row r="19">
      <c r="A19" s="6" t="inlineStr">
        <is>
          <t>WC-136</t>
        </is>
      </c>
      <c r="B19" s="7" t="inlineStr">
        <is>
          <t>Seven further routes throw an uncaught error and blank the screen for an account with no assigned centres</t>
        </is>
      </c>
      <c r="C19" s="11" t="inlineStr">
        <is>
          <t>S3 Major</t>
        </is>
      </c>
      <c r="D19" s="7" t="inlineStr">
        <is>
          <t>P3</t>
        </is>
      </c>
      <c r="E19" s="7" t="inlineStr">
        <is>
          <t>OC, CH, FC — any account with no assigned centres</t>
        </is>
      </c>
      <c r="F19" s="7" t="inlineStr">
        <is>
          <t>7 routes (see steps)</t>
        </is>
      </c>
      <c r="G19"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H19" s="7" t="inlineStr">
        <is>
          <t>A screen loaded by an account with no data shows an empty state, not a blank crash.</t>
        </is>
      </c>
      <c r="I19" s="7" t="inlineStr">
        <is>
          <t>Uncaught JS errors on: fc/view-feedBack ('Cannot destructure property youthId of null'), ch/budget-profile, ch/program-targets, ch/person-wise-target, ch/person-wise-target-planning, oc/outreach-planning-dashboard, oc/batch-management/merge-batch.</t>
        </is>
      </c>
      <c r="J19" s="7" t="inlineStr">
        <is>
          <t>Guard the data access on these screens (optional chaining + an explicit empty state), and add the WC-133 error boundary so any residual crash is contained. fc/view-feedBack: guard the youthId destructure.</t>
        </is>
      </c>
      <c r="K19" s="9" t="inlineStr">
        <is>
          <t>Open</t>
        </is>
      </c>
    </row>
    <row r="20">
      <c r="A20" s="6" t="inlineStr">
        <is>
          <t>WC-007</t>
        </is>
      </c>
      <c r="B20" s="7" t="inlineStr">
        <is>
          <t>Source-tree asset path in built app</t>
        </is>
      </c>
      <c r="C20" s="12" t="inlineStr">
        <is>
          <t>S4 Minor</t>
        </is>
      </c>
      <c r="D20" s="7" t="inlineStr">
        <is>
          <t>P4</t>
        </is>
      </c>
      <c r="E20" s="7" t="inlineStr">
        <is>
          <t>All personas / not role-specific</t>
        </is>
      </c>
      <c r="F20" s="7" t="inlineStr"/>
      <c r="G20" s="7" t="inlineStr">
        <is>
          <t>1. Shown in the deployed build output, not the running UI.
2. Open the browser on any persona app, press F12 -&gt; Sources (or Debugger) tab.
3. Search the loaded bundle for a source-tree path such as '/src/' that leaked into the shipped asset reference.
4. Confirm the built app references a development path rather than the built asset path.</t>
        </is>
      </c>
      <c r="H20" s="7" t="inlineStr">
        <is>
          <t>Build and release hygiene: no development artefacts, warnings or broken copy in a deployed application.</t>
        </is>
      </c>
      <c r="I20" s="7" t="inlineStr">
        <is>
          <t>login requests /src/assets/icons/logo_transparent.png (unbundled source path)</t>
        </is>
      </c>
      <c r="J20" s="7" t="inlineStr">
        <is>
          <t>import the asset so the bundler fingerprints and rewrites its path, rather than referencing /src/... literally. As shipped the path only resolves by accident of how the site is served, and will 404 under any stricter static configuration.</t>
        </is>
      </c>
      <c r="K20" s="9" t="inlineStr">
        <is>
          <t>Open</t>
        </is>
      </c>
    </row>
    <row r="21">
      <c r="A21" s="6" t="inlineStr">
        <is>
          <t>WC-008</t>
        </is>
      </c>
      <c r="B21" s="7" t="inlineStr">
        <is>
          <t>Broken grammar in user-facing error</t>
        </is>
      </c>
      <c r="C21" s="12" t="inlineStr">
        <is>
          <t>S4 Minor</t>
        </is>
      </c>
      <c r="D21" s="7" t="inlineStr">
        <is>
          <t>P4</t>
        </is>
      </c>
      <c r="E21" s="7" t="inlineStr">
        <is>
          <t>All personas / not role-specific</t>
        </is>
      </c>
      <c r="F21" s="7" t="inlineStr"/>
      <c r="G21" s="7" t="inlineStr">
        <is>
          <t>1. Account: whichever persona triggers the error named in the register entry.
2. Perform the action that raises the user-facing error message.
3. Read the message shown on screen — the grammar is broken (exact string is in the register).
4. This is a copy fix in the frontend string, not a logic change.</t>
        </is>
      </c>
      <c r="H21" s="7" t="inlineStr">
        <is>
          <t>Build and release hygiene: no development artefacts, warnings or broken copy in a deployed application.</t>
        </is>
      </c>
      <c r="I21" s="7" t="inlineStr">
        <is>
          <t>"Failed to Target data." (FC dashboard target fetch failure)</t>
        </is>
      </c>
      <c r="J21" s="7" t="inlineStr">
        <is>
          <t>correct the string to a sentence — for example "Could not load target data." The same screen's underlying 404 is recorded separately; this item is only the wording.</t>
        </is>
      </c>
      <c r="K21" s="9" t="inlineStr">
        <is>
          <t>Open</t>
        </is>
      </c>
    </row>
    <row r="22">
      <c r="A22" s="6" t="inlineStr">
        <is>
          <t>WC-009</t>
        </is>
      </c>
      <c r="B22" s="7" t="inlineStr">
        <is>
          <t>React Router v6 future-flag warnings</t>
        </is>
      </c>
      <c r="C22" s="12" t="inlineStr">
        <is>
          <t>S4 Minor</t>
        </is>
      </c>
      <c r="D22" s="7" t="inlineStr">
        <is>
          <t>P4</t>
        </is>
      </c>
      <c r="E22" s="7" t="inlineStr">
        <is>
          <t>All personas / not role-specific</t>
        </is>
      </c>
      <c r="F22" s="7" t="inlineStr"/>
      <c r="G22" s="7" t="inlineStr">
        <is>
          <t>1. Account: sign in as any persona (OC).
2. Open any screen, press F12 -&gt; Console tab.
3. On page load, read the React Router v6 'future flag' warnings printed to the console.
4. These are forward-compatibility warnings; harmless now but should be resolved before the next React Router upgrade.</t>
        </is>
      </c>
      <c r="H22" s="7" t="inlineStr">
        <is>
          <t>Build and release hygiene: no development artefacts, warnings or broken copy in a deployed application.</t>
        </is>
      </c>
      <c r="I22" s="7" t="inlineStr">
        <is>
          <t>console warnings, v7_startTransition / v7_relativeSplatPath. Tech-debt, not user-facing.</t>
        </is>
      </c>
      <c r="J22" s="7" t="inlineStr">
        <is>
          <t>opt in to the v7 behaviours now (v7_startTransition, v7_relativeSplatPath) so the eventual upgrade is a no-op, or pin the router version and record the decision. Console noise is the visible symptom; the real cost is that genuine warnings are lost among it.</t>
        </is>
      </c>
      <c r="K22" s="9" t="inlineStr">
        <is>
          <t>Open</t>
        </is>
      </c>
    </row>
    <row r="23">
      <c r="A23" s="6" t="inlineStr">
        <is>
          <t>WC-010</t>
        </is>
      </c>
      <c r="B23" s="7" t="inlineStr">
        <is>
          <t>Doubled route segment</t>
        </is>
      </c>
      <c r="C23" s="12" t="inlineStr">
        <is>
          <t>S4 Minor</t>
        </is>
      </c>
      <c r="D23" s="7" t="inlineStr">
        <is>
          <t>P4</t>
        </is>
      </c>
      <c r="E23" s="7" t="inlineStr">
        <is>
          <t>Facilitator and Counsellor</t>
        </is>
      </c>
      <c r="F23" s="7" t="inlineStr"/>
      <c r="G23" s="7" t="inlineStr">
        <is>
          <t>1. Shown in the frontend source.
2. Open the affected app's src/routes.js (or App.jsx).
3. Find the route defined with a doubled path segment (e.g. a path that resolves to /fc/fc/...).
4. Correct the duplicated segment so the route resolves once.</t>
        </is>
      </c>
      <c r="H23" s="7" t="inlineStr">
        <is>
          <t>Build and release hygiene: no development artefacts, warnings or broken copy in a deployed application.</t>
        </is>
      </c>
      <c r="I23" s="7" t="inlineStr">
        <is>
          <t>FC nav links use /fc/fc/all-batches, /fc/fc/counselling, /fc/fc/tasks (double fc). Works, but smells like a base-path bug.</t>
        </is>
      </c>
      <c r="J23"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K23" s="9" t="inlineStr">
        <is>
          <t>Open</t>
        </is>
      </c>
    </row>
    <row r="24">
      <c r="A24" s="6" t="inlineStr">
        <is>
          <t>WC-032</t>
        </is>
      </c>
      <c r="B24" s="7" t="inlineStr">
        <is>
          <t>Dead anchors (href="#") in navigation</t>
        </is>
      </c>
      <c r="C24" s="12" t="inlineStr">
        <is>
          <t>S4 Minor</t>
        </is>
      </c>
      <c r="D24" s="7" t="inlineStr">
        <is>
          <t>P4</t>
        </is>
      </c>
      <c r="E24" s="7" t="inlineStr">
        <is>
          <t>All personas / not role-specific</t>
        </is>
      </c>
      <c r="F24" s="7" t="inlineStr"/>
      <c r="G24" s="7" t="inlineStr">
        <is>
          <t>1. Account: sign in as any persona.
2. Right-click a navigation item that does nothing when clicked -&gt; Inspect.
3. Confirm the anchor is &lt;a href="#"&gt; — a placeholder link that was never wired to a destination.</t>
        </is>
      </c>
      <c r="H24" s="7" t="inlineStr">
        <is>
          <t>The screen renders its content when the URL is opened directly, refreshed, or reached from a bookmark.</t>
        </is>
      </c>
      <c r="I24" s="7" t="inlineStr">
        <is>
          <t>10 across the sampled routes — CH 6, FC 3, and "Forgot Password?" on the shared login page. They render as links, respond to hover, and do nothing when clicked.</t>
        </is>
      </c>
      <c r="J24"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K24" s="9" t="inlineStr">
        <is>
          <t>Open</t>
        </is>
      </c>
    </row>
    <row r="25">
      <c r="A25" s="6" t="inlineStr">
        <is>
          <t>WC-041</t>
        </is>
      </c>
      <c r="B25" s="7" t="inlineStr">
        <is>
          <t>Developer test route shipped in the deployed Outreach Coordinator application</t>
        </is>
      </c>
      <c r="C25" s="12" t="inlineStr">
        <is>
          <t>S4 Minor</t>
        </is>
      </c>
      <c r="D25" s="7" t="inlineStr">
        <is>
          <t>P4</t>
        </is>
      </c>
      <c r="E25" s="7" t="inlineStr">
        <is>
          <t>Outreach Coordinator</t>
        </is>
      </c>
      <c r="F25" s="7" t="inlineStr">
        <is>
          <t>/oc/test-zustand, defined in the OC application's router and reachable in UAT.</t>
        </is>
      </c>
      <c r="G25" s="7" t="inlineStr">
        <is>
          <t>1. Account: sign in as OC.
2. Paste into the address bar: uat.lighthouseconnect.org/oc/test-zustand
3. Observe a developer test screen (a state-library scratch page) that has shipped into the live Outreach Coordinator app.
4. This is a build-hygiene issue — a developer artefact should not be reachable in a deployed application.</t>
        </is>
      </c>
      <c r="H25" s="7" t="inlineStr">
        <is>
          <t>Build and release hygiene: no development artefacts, warnings or broken copy in a deployed application.</t>
        </is>
      </c>
      <c r="I25" s="7" t="inlineStr">
        <is>
          <t>present in the deployed route inventory; named for the state-management library, indicating a development scratch screen rather than a user-facing feature.</t>
        </is>
      </c>
      <c r="J25" s="7" t="inlineStr">
        <is>
          <t>exclude development routes from production builds, or gate them behind a build flag.</t>
        </is>
      </c>
      <c r="K25" s="9" t="inlineStr">
        <is>
          <t>Open</t>
        </is>
      </c>
    </row>
  </sheetData>
  <autoFilter ref="A4: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4"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4" t="inlineStr">
        <is>
          <t>Add one row per working day. The pale rows are yours to continue.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4" t="inlineStr">
        <is>
          <t>Every figure below is a formula reading the Bugs tab. Edit Bugs and these update.</t>
        </is>
      </c>
    </row>
    <row r="4">
      <c r="A4" s="4" t="inlineStr">
        <is>
          <t>By severity</t>
        </is>
      </c>
    </row>
    <row r="5">
      <c r="A5" s="15" t="inlineStr">
        <is>
          <t>Severity</t>
        </is>
      </c>
      <c r="B5" s="15" t="inlineStr">
        <is>
          <t>Count</t>
        </is>
      </c>
    </row>
    <row r="6">
      <c r="A6" s="2" t="inlineStr">
        <is>
          <t>S1 Blocker</t>
        </is>
      </c>
      <c r="B6" s="2">
        <f>COUNTIF(Bugs!$C$2:$C$88,"S1 Blocker")</f>
        <v/>
      </c>
    </row>
    <row r="7">
      <c r="A7" s="2" t="inlineStr">
        <is>
          <t>S2 Critical</t>
        </is>
      </c>
      <c r="B7" s="2">
        <f>COUNTIF(Bugs!$C$2:$C$88,"S2 Critical")</f>
        <v/>
      </c>
    </row>
    <row r="8">
      <c r="A8" s="2" t="inlineStr">
        <is>
          <t>S3 Major</t>
        </is>
      </c>
      <c r="B8" s="2">
        <f>COUNTIF(Bugs!$C$2:$C$88,"S3 Major")</f>
        <v/>
      </c>
    </row>
    <row r="9">
      <c r="A9" s="2" t="inlineStr">
        <is>
          <t>S4 Minor</t>
        </is>
      </c>
      <c r="B9" s="2">
        <f>COUNTIF(Bugs!$C$2:$C$88,"S4 Minor")</f>
        <v/>
      </c>
    </row>
    <row r="10">
      <c r="A10" s="4" t="inlineStr">
        <is>
          <t>Total</t>
        </is>
      </c>
      <c r="B10" s="4">
        <f>SUM(B6:B9)</f>
        <v/>
      </c>
    </row>
    <row r="12">
      <c r="A12" s="4" t="inlineStr">
        <is>
          <t>By priority</t>
        </is>
      </c>
    </row>
    <row r="13">
      <c r="A13" s="15" t="inlineStr">
        <is>
          <t>Priority</t>
        </is>
      </c>
      <c r="B13" s="15" t="inlineStr">
        <is>
          <t>Count</t>
        </is>
      </c>
    </row>
    <row r="14">
      <c r="A14" s="2" t="inlineStr">
        <is>
          <t>P1</t>
        </is>
      </c>
      <c r="B14" s="2">
        <f>COUNTIF(Bugs!$D$2:$D$88,"P1")</f>
        <v/>
      </c>
    </row>
    <row r="15">
      <c r="A15" s="2" t="inlineStr">
        <is>
          <t>P2</t>
        </is>
      </c>
      <c r="B15" s="2">
        <f>COUNTIF(Bugs!$D$2:$D$88,"P2")</f>
        <v/>
      </c>
    </row>
    <row r="16">
      <c r="A16" s="2" t="inlineStr">
        <is>
          <t>P3</t>
        </is>
      </c>
      <c r="B16" s="2">
        <f>COUNTIF(Bugs!$D$2:$D$88,"P3")</f>
        <v/>
      </c>
    </row>
    <row r="17">
      <c r="A17" s="2" t="inlineStr">
        <is>
          <t>P4</t>
        </is>
      </c>
      <c r="B17" s="2">
        <f>COUNTIF(Bugs!$D$2:$D$88,"P4")</f>
        <v/>
      </c>
    </row>
    <row r="18">
      <c r="A18" s="4" t="inlineStr">
        <is>
          <t>Total</t>
        </is>
      </c>
      <c r="B18" s="4">
        <f>SUM(B14:B17)</f>
        <v/>
      </c>
    </row>
    <row r="20">
      <c r="A20" s="4" t="inlineStr">
        <is>
          <t>By area</t>
        </is>
      </c>
    </row>
    <row r="21">
      <c r="A21" s="15" t="inlineStr">
        <is>
          <t>Area</t>
        </is>
      </c>
      <c r="B21" s="15" t="inlineStr">
        <is>
          <t>Count</t>
        </is>
      </c>
    </row>
    <row r="22">
      <c r="A22" s="2" t="inlineStr">
        <is>
          <t>API contract</t>
        </is>
      </c>
      <c r="B22" s="2">
        <f>COUNTIF(Bugs!$G$2:$G$88,"API contract")</f>
        <v/>
      </c>
    </row>
    <row r="23">
      <c r="A23" s="2" t="inlineStr">
        <is>
          <t>Accessibility</t>
        </is>
      </c>
      <c r="B23" s="2">
        <f>COUNTIF(Bugs!$G$2:$G$88,"Accessibility")</f>
        <v/>
      </c>
    </row>
    <row r="24">
      <c r="A24" s="2" t="inlineStr">
        <is>
          <t>Authentication / session</t>
        </is>
      </c>
      <c r="B24" s="2">
        <f>COUNTIF(Bugs!$G$2:$G$88,"Authentication / session")</f>
        <v/>
      </c>
    </row>
    <row r="25">
      <c r="A25" s="2" t="inlineStr">
        <is>
          <t>Authorisation</t>
        </is>
      </c>
      <c r="B25" s="2">
        <f>COUNTIF(Bugs!$G$2:$G$88,"Authorisation")</f>
        <v/>
      </c>
    </row>
    <row r="26">
      <c r="A26" s="2" t="inlineStr">
        <is>
          <t>Build hygiene</t>
        </is>
      </c>
      <c r="B26" s="2">
        <f>COUNTIF(Bugs!$G$2:$G$88,"Build hygiene")</f>
        <v/>
      </c>
    </row>
    <row r="27">
      <c r="A27" s="2" t="inlineStr">
        <is>
          <t>Data protection</t>
        </is>
      </c>
      <c r="B27" s="2">
        <f>COUNTIF(Bugs!$G$2:$G$88,"Data protection")</f>
        <v/>
      </c>
    </row>
    <row r="28">
      <c r="A28" s="2" t="inlineStr">
        <is>
          <t>Error handling</t>
        </is>
      </c>
      <c r="B28" s="2">
        <f>COUNTIF(Bugs!$G$2:$G$88,"Error handling")</f>
        <v/>
      </c>
    </row>
    <row r="29">
      <c r="A29" s="2" t="inlineStr">
        <is>
          <t>Frontend</t>
        </is>
      </c>
      <c r="B29" s="2">
        <f>COUNTIF(Bugs!$G$2:$G$88,"Frontend")</f>
        <v/>
      </c>
    </row>
    <row r="30">
      <c r="A30" s="2" t="inlineStr">
        <is>
          <t>Handover / configuration</t>
        </is>
      </c>
      <c r="B30" s="2">
        <f>COUNTIF(Bugs!$G$2:$G$88,"Handover / configuration")</f>
        <v/>
      </c>
    </row>
    <row r="31">
      <c r="A31" s="2" t="inlineStr">
        <is>
          <t>Input validation</t>
        </is>
      </c>
      <c r="B31" s="2">
        <f>COUNTIF(Bugs!$G$2:$G$88,"Input validation")</f>
        <v/>
      </c>
    </row>
    <row r="32">
      <c r="A32" s="2" t="inlineStr">
        <is>
          <t>Performance</t>
        </is>
      </c>
      <c r="B32" s="2">
        <f>COUNTIF(Bugs!$G$2:$G$88,"Performance")</f>
        <v/>
      </c>
    </row>
    <row r="33">
      <c r="A33" s="2" t="inlineStr">
        <is>
          <t>Security configuration</t>
        </is>
      </c>
      <c r="B33" s="2">
        <f>COUNTIF(Bugs!$G$2:$G$88,"Security configuration")</f>
        <v/>
      </c>
    </row>
    <row r="34">
      <c r="A34" s="2" t="inlineStr">
        <is>
          <t>Transactional integrity</t>
        </is>
      </c>
      <c r="B34" s="2">
        <f>COUNTIF(Bugs!$G$2:$G$88,"Transactional integrity")</f>
        <v/>
      </c>
    </row>
    <row r="35">
      <c r="A35" s="2" t="inlineStr">
        <is>
          <t>Workflow / state</t>
        </is>
      </c>
      <c r="B35" s="2">
        <f>COUNTIF(Bugs!$G$2:$G$88,"Workflow / state")</f>
        <v/>
      </c>
    </row>
    <row r="36">
      <c r="A36" s="4" t="inlineStr">
        <is>
          <t>Total</t>
        </is>
      </c>
      <c r="B36" s="4">
        <f>SUM(B22:B35)</f>
        <v/>
      </c>
    </row>
    <row r="38">
      <c r="A38" s="4" t="inlineStr">
        <is>
          <t>By status</t>
        </is>
      </c>
    </row>
    <row r="39">
      <c r="A39" s="15" t="inlineStr">
        <is>
          <t>Status</t>
        </is>
      </c>
      <c r="B39" s="15" t="inlineStr">
        <is>
          <t>Count</t>
        </is>
      </c>
    </row>
    <row r="40">
      <c r="A40" s="2" t="inlineStr">
        <is>
          <t>Open</t>
        </is>
      </c>
      <c r="B40" s="2">
        <f>COUNTIF(Bugs!$R$2:$R$88,"Open")</f>
        <v/>
      </c>
    </row>
    <row r="41">
      <c r="A41" s="2" t="inlineStr">
        <is>
          <t>In Progress</t>
        </is>
      </c>
      <c r="B41" s="2">
        <f>COUNTIF(Bugs!$R$2:$R$88,"In Progress")</f>
        <v/>
      </c>
    </row>
    <row r="42">
      <c r="A42" s="2" t="inlineStr">
        <is>
          <t>Fixed</t>
        </is>
      </c>
      <c r="B42" s="2">
        <f>COUNTIF(Bugs!$R$2:$R$88,"Fixed")</f>
        <v/>
      </c>
    </row>
    <row r="43">
      <c r="A43" s="2" t="inlineStr">
        <is>
          <t>Re-test</t>
        </is>
      </c>
      <c r="B43" s="2">
        <f>COUNTIF(Bugs!$R$2:$R$88,"Re-test")</f>
        <v/>
      </c>
    </row>
    <row r="44">
      <c r="A44" s="2" t="inlineStr">
        <is>
          <t>Closed</t>
        </is>
      </c>
      <c r="B44" s="2">
        <f>COUNTIF(Bugs!$R$2:$R$88,"Closed")</f>
        <v/>
      </c>
    </row>
    <row r="45">
      <c r="A45" s="2" t="inlineStr">
        <is>
          <t>Deferred</t>
        </is>
      </c>
      <c r="B45" s="2">
        <f>COUNTIF(Bugs!$R$2:$R$88,"Deferred")</f>
        <v/>
      </c>
    </row>
    <row r="46">
      <c r="A46" s="4" t="inlineStr">
        <is>
          <t>Total</t>
        </is>
      </c>
      <c r="B46" s="4">
        <f>SUM(B40:B45)</f>
        <v/>
      </c>
    </row>
    <row r="48">
      <c r="A48" s="4" t="inlineStr">
        <is>
          <t>Fix these four first — minutes of work each</t>
        </is>
      </c>
    </row>
    <row r="49">
      <c r="A49" s="4" t="inlineStr">
        <is>
          <t>WC-088</t>
        </is>
      </c>
      <c r="B49" s="2">
        <f>IFERROR(INDEX(Bugs!$R$2:$R$88,MATCH("WC-088",Bugs!$A$2:$A$88,0)),"not found")</f>
        <v/>
      </c>
      <c r="C49" s="3" t="inlineStr">
        <is>
          <t>One-word typo breaking Enquiry Form status changes. Two sites, not one.</t>
        </is>
      </c>
    </row>
    <row r="50">
      <c r="A50" s="4" t="inlineStr">
        <is>
          <t>WC-068</t>
        </is>
      </c>
      <c r="B50" s="2">
        <f>IFERROR(INDEX(Bugs!$R$2:$R$88,MATCH("WC-068",Bugs!$A$2:$A$88,0)),"not found")</f>
        <v/>
      </c>
      <c r="C50" s="3" t="inlineStr">
        <is>
          <t>Remove allow_guest from three endpoints publishing the full API specification.</t>
        </is>
      </c>
    </row>
    <row r="51">
      <c r="A51" s="4" t="inlineStr">
        <is>
          <t>WC-023</t>
        </is>
      </c>
      <c r="B51" s="2">
        <f>IFERROR(INDEX(Bugs!$R$2:$R$88,MATCH("WC-023",Bugs!$A$2:$A$88,0)),"not found")</f>
        <v/>
      </c>
      <c r="C51" s="3" t="inlineStr">
        <is>
          <t>Stop returning Python stack traces to callers.</t>
        </is>
      </c>
    </row>
    <row r="52">
      <c r="A52" s="4" t="inlineStr">
        <is>
          <t>WC-121</t>
        </is>
      </c>
      <c r="B52" s="2">
        <f>IFERROR(INDEX(Bugs!$R$2:$R$88,MATCH("WC-121",Bugs!$A$2:$A$88,0)),"not found")</f>
        <v/>
      </c>
      <c r="C52" s="3" t="inlineStr">
        <is>
          <t>Replace the CORS wildcard with the two frontend origins.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4"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row r="46">
      <c r="A46" s="6" t="inlineStr">
        <is>
          <t>WC-135</t>
        </is>
      </c>
      <c r="B46" s="7" t="inlineStr">
        <is>
          <t>Front-end security sweep: clean results worth recording</t>
        </is>
      </c>
      <c r="C46" s="7" t="inlineStr">
        <is>
          <t>Verified — source</t>
        </is>
      </c>
      <c r="D46" s="7" t="inlineStr">
        <is>
          <t>Verified-negative FE results: no mixed content (http:// resources), no window 'message' listeners, no secrets in URL query strings, no eval/new Function on reachable paths. Two apps (sp, syc) already strip console in production — the pattern WC-128 recommends for the rest.</t>
        </is>
      </c>
    </row>
  </sheetData>
  <autoFilter ref="A4:D4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2026-10-08T18:10:39Z</dcterms:created>
  <dcterms:modified xmlns:dcterms="http://purl.org/dc/terms/" xmlns:xsi="http://www.w3.org/2001/XMLSchema-instance" xsi:type="dcterms:W3CDTF">2026-10-20T12:23:08Z</dcterms:modified>
  <cp:lastModifiedBy>WeConnect 2.0 QA</cp:lastModifiedBy>
</cp:coreProperties>
</file>